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150" yWindow="165" windowWidth="9360" windowHeight="4440" activeTab="2"/>
  </bookViews>
  <sheets>
    <sheet name="Tabulador" sheetId="7" r:id="rId1"/>
    <sheet name="Factor Integración" sheetId="6" r:id="rId2"/>
    <sheet name="General" sheetId="1" r:id="rId3"/>
    <sheet name="Hoja1" sheetId="9" r:id="rId4"/>
    <sheet name="Hoja2" sheetId="10" r:id="rId5"/>
  </sheets>
  <functionGroups builtInGroupCount="17"/>
  <definedNames>
    <definedName name="_xlnm._FilterDatabase" localSheetId="2" hidden="1">General!$A$1:$BL$133</definedName>
  </definedNames>
  <calcPr calcId="144525"/>
</workbook>
</file>

<file path=xl/calcChain.xml><?xml version="1.0" encoding="utf-8"?>
<calcChain xmlns="http://schemas.openxmlformats.org/spreadsheetml/2006/main">
  <c r="C190" i="1" l="1"/>
  <c r="D190" i="1"/>
  <c r="F190" i="1"/>
  <c r="BE193" i="1" l="1"/>
  <c r="C193" i="1"/>
  <c r="D193" i="1"/>
  <c r="F193" i="1"/>
  <c r="BE192" i="1" l="1"/>
  <c r="C192" i="1"/>
  <c r="D192" i="1"/>
  <c r="F192" i="1"/>
  <c r="BE191" i="1" l="1"/>
  <c r="C191" i="1"/>
  <c r="D191" i="1"/>
  <c r="F191" i="1"/>
  <c r="BE189" i="1" l="1"/>
  <c r="C189" i="1"/>
  <c r="D189" i="1"/>
  <c r="F189" i="1"/>
  <c r="BE188" i="1"/>
  <c r="C188" i="1"/>
  <c r="D188" i="1"/>
  <c r="F188" i="1"/>
  <c r="BE187" i="1"/>
  <c r="C187" i="1"/>
  <c r="D187" i="1"/>
  <c r="F187" i="1"/>
  <c r="BE186" i="1"/>
  <c r="C186" i="1"/>
  <c r="D186" i="1"/>
  <c r="F186" i="1"/>
  <c r="BE185" i="1"/>
  <c r="C185" i="1"/>
  <c r="D185" i="1"/>
  <c r="F185" i="1"/>
  <c r="BE184" i="1"/>
  <c r="C184" i="1"/>
  <c r="D184" i="1"/>
  <c r="F184" i="1"/>
  <c r="BE183" i="1" l="1"/>
  <c r="C183" i="1"/>
  <c r="D183" i="1"/>
  <c r="F183" i="1"/>
  <c r="BE182" i="1"/>
  <c r="C182" i="1"/>
  <c r="D182" i="1"/>
  <c r="F182" i="1"/>
  <c r="BE181" i="1"/>
  <c r="C181" i="1"/>
  <c r="D181" i="1"/>
  <c r="F181" i="1"/>
  <c r="BE180" i="1"/>
  <c r="C180" i="1"/>
  <c r="D180" i="1"/>
  <c r="F180" i="1"/>
  <c r="BE179" i="1"/>
  <c r="C179" i="1"/>
  <c r="D179" i="1"/>
  <c r="F179" i="1"/>
  <c r="BE177" i="1"/>
  <c r="BE176" i="1"/>
  <c r="BE175" i="1"/>
  <c r="BE178" i="1"/>
  <c r="E174" i="1"/>
  <c r="C178" i="1"/>
  <c r="D178" i="1"/>
  <c r="E178" i="1" s="1"/>
  <c r="F178" i="1"/>
  <c r="C177" i="1"/>
  <c r="D177" i="1"/>
  <c r="E177" i="1" s="1"/>
  <c r="F177" i="1"/>
  <c r="C176" i="1"/>
  <c r="D176" i="1"/>
  <c r="E176" i="1" s="1"/>
  <c r="F176" i="1"/>
  <c r="N175" i="1"/>
  <c r="C175" i="1"/>
  <c r="D175" i="1"/>
  <c r="E175" i="1" s="1"/>
  <c r="F175" i="1"/>
  <c r="BE174" i="1"/>
  <c r="BE173" i="1"/>
  <c r="BE172" i="1"/>
  <c r="N174" i="1"/>
  <c r="C174" i="1"/>
  <c r="D174" i="1"/>
  <c r="F174" i="1"/>
  <c r="H173" i="1"/>
  <c r="N173" i="1" s="1"/>
  <c r="C173" i="1"/>
  <c r="D173" i="1"/>
  <c r="E173" i="1" s="1"/>
  <c r="F173" i="1"/>
  <c r="C172" i="1"/>
  <c r="D172" i="1"/>
  <c r="E172" i="1" s="1"/>
  <c r="F172" i="1"/>
  <c r="BE171" i="1"/>
  <c r="N171" i="1"/>
  <c r="C171" i="1"/>
  <c r="D171" i="1"/>
  <c r="E171" i="1" s="1"/>
  <c r="F171" i="1"/>
  <c r="BE170" i="1"/>
  <c r="C170" i="1"/>
  <c r="D170" i="1"/>
  <c r="E170" i="1" s="1"/>
  <c r="F170" i="1"/>
  <c r="BE169" i="1"/>
  <c r="N169" i="1"/>
  <c r="C169" i="1"/>
  <c r="D169" i="1"/>
  <c r="E169" i="1" s="1"/>
  <c r="F169" i="1"/>
  <c r="BE168" i="1"/>
  <c r="N168" i="1"/>
  <c r="C168" i="1"/>
  <c r="D168" i="1"/>
  <c r="E168" i="1" s="1"/>
  <c r="F168" i="1"/>
  <c r="BE167" i="1"/>
  <c r="N167" i="1"/>
  <c r="C167" i="1"/>
  <c r="D167" i="1"/>
  <c r="E167" i="1" s="1"/>
  <c r="F167" i="1"/>
  <c r="BE166" i="1"/>
  <c r="N166" i="1"/>
  <c r="C166" i="1"/>
  <c r="D166" i="1"/>
  <c r="E166" i="1" s="1"/>
  <c r="F166" i="1"/>
  <c r="BE165" i="1"/>
  <c r="H164" i="1"/>
  <c r="N164" i="1"/>
  <c r="C165" i="1"/>
  <c r="D165" i="1"/>
  <c r="E165" i="1" s="1"/>
  <c r="F165" i="1"/>
  <c r="BE164" i="1"/>
  <c r="C164" i="1"/>
  <c r="D164" i="1"/>
  <c r="E164" i="1" s="1"/>
  <c r="F164" i="1"/>
  <c r="BE163" i="1"/>
  <c r="C163" i="1"/>
  <c r="D163" i="1"/>
  <c r="E163" i="1" s="1"/>
  <c r="F163" i="1"/>
  <c r="BE162" i="1"/>
  <c r="C162" i="1"/>
  <c r="D162" i="1"/>
  <c r="E162" i="1" s="1"/>
  <c r="F162" i="1"/>
  <c r="BE135" i="1"/>
  <c r="BE161" i="1"/>
  <c r="H160" i="1"/>
  <c r="E161" i="1"/>
  <c r="F161" i="1"/>
  <c r="D161" i="1"/>
  <c r="C161" i="1"/>
  <c r="C160" i="1"/>
  <c r="D160" i="1"/>
  <c r="E160" i="1" s="1"/>
  <c r="F160" i="1"/>
  <c r="H150" i="1"/>
  <c r="N150" i="1" s="1"/>
  <c r="C159" i="1"/>
  <c r="D159" i="1"/>
  <c r="E159" i="1" s="1"/>
  <c r="F159" i="1"/>
  <c r="C158" i="1"/>
  <c r="D158" i="1"/>
  <c r="E158" i="1" s="1"/>
  <c r="F158" i="1"/>
  <c r="C157" i="1"/>
  <c r="D157" i="1"/>
  <c r="E157" i="1" s="1"/>
  <c r="F157" i="1"/>
  <c r="C156" i="1"/>
  <c r="D156" i="1"/>
  <c r="F156" i="1"/>
  <c r="E156" i="1"/>
  <c r="C155" i="1"/>
  <c r="D155" i="1"/>
  <c r="E155" i="1" s="1"/>
  <c r="F155" i="1"/>
  <c r="C154" i="1"/>
  <c r="D154" i="1"/>
  <c r="E154" i="1" s="1"/>
  <c r="F154" i="1"/>
  <c r="C153" i="1"/>
  <c r="D153" i="1"/>
  <c r="E153" i="1" s="1"/>
  <c r="F153" i="1"/>
  <c r="C152" i="1"/>
  <c r="D152" i="1"/>
  <c r="E152" i="1" s="1"/>
  <c r="F152" i="1"/>
  <c r="C151" i="1"/>
  <c r="D151" i="1"/>
  <c r="E151" i="1" s="1"/>
  <c r="F151" i="1"/>
  <c r="C150" i="1"/>
  <c r="D150" i="1"/>
  <c r="E150" i="1" s="1"/>
  <c r="F150" i="1"/>
  <c r="C149" i="1"/>
  <c r="D149" i="1"/>
  <c r="E149" i="1" s="1"/>
  <c r="F149" i="1"/>
  <c r="E146" i="1"/>
  <c r="C148" i="1"/>
  <c r="D148" i="1"/>
  <c r="E148" i="1" s="1"/>
  <c r="F148" i="1"/>
  <c r="C147" i="1"/>
  <c r="D147" i="1"/>
  <c r="E147" i="1" s="1"/>
  <c r="F147" i="1"/>
  <c r="C146" i="1"/>
  <c r="D146" i="1"/>
  <c r="F146" i="1"/>
  <c r="C145" i="1"/>
  <c r="D145" i="1"/>
  <c r="E145" i="1" s="1"/>
  <c r="F145" i="1"/>
  <c r="C144" i="1"/>
  <c r="D144" i="1"/>
  <c r="E144" i="1" s="1"/>
  <c r="F144" i="1"/>
  <c r="C143" i="1"/>
  <c r="D143" i="1"/>
  <c r="E143" i="1" s="1"/>
  <c r="F143" i="1"/>
  <c r="C142" i="1"/>
  <c r="D142" i="1"/>
  <c r="E142" i="1" s="1"/>
  <c r="F142" i="1"/>
  <c r="C141" i="1"/>
  <c r="D141" i="1"/>
  <c r="E141" i="1" s="1"/>
  <c r="F141" i="1"/>
  <c r="C140" i="1"/>
  <c r="D140" i="1"/>
  <c r="E140" i="1" s="1"/>
  <c r="F140" i="1"/>
  <c r="C139" i="1"/>
  <c r="D139" i="1"/>
  <c r="E139" i="1" s="1"/>
  <c r="F139" i="1"/>
  <c r="C138" i="1"/>
  <c r="D138" i="1"/>
  <c r="E138" i="1" s="1"/>
  <c r="F138" i="1"/>
  <c r="E137" i="1"/>
  <c r="C137" i="1"/>
  <c r="D137" i="1"/>
  <c r="F137" i="1"/>
  <c r="C136" i="1"/>
  <c r="D136" i="1"/>
  <c r="E136" i="1" s="1"/>
  <c r="F136" i="1"/>
  <c r="C135" i="1"/>
  <c r="D135" i="1"/>
  <c r="E135" i="1" s="1"/>
  <c r="F135" i="1"/>
  <c r="I122" i="1"/>
  <c r="I123" i="1"/>
  <c r="I124" i="1"/>
  <c r="C134" i="1"/>
  <c r="D134" i="1"/>
  <c r="E134" i="1" s="1"/>
  <c r="F134" i="1"/>
  <c r="F89" i="1"/>
  <c r="C125" i="1"/>
  <c r="D125" i="1"/>
  <c r="E125" i="1" s="1"/>
  <c r="F125" i="1"/>
  <c r="C126" i="1"/>
  <c r="D126" i="1"/>
  <c r="E126" i="1" s="1"/>
  <c r="F126" i="1"/>
  <c r="C127" i="1"/>
  <c r="D127" i="1"/>
  <c r="E127" i="1" s="1"/>
  <c r="F127" i="1"/>
  <c r="C128" i="1"/>
  <c r="D128" i="1"/>
  <c r="E128" i="1" s="1"/>
  <c r="F128" i="1"/>
  <c r="C129" i="1"/>
  <c r="D129" i="1"/>
  <c r="E129" i="1" s="1"/>
  <c r="F129" i="1"/>
  <c r="C130" i="1"/>
  <c r="D130" i="1"/>
  <c r="E130" i="1" s="1"/>
  <c r="F130" i="1"/>
  <c r="C131" i="1"/>
  <c r="D131" i="1"/>
  <c r="E131" i="1" s="1"/>
  <c r="F131" i="1"/>
  <c r="C132" i="1"/>
  <c r="D132" i="1"/>
  <c r="E132" i="1" s="1"/>
  <c r="F132" i="1"/>
  <c r="C133" i="1"/>
  <c r="D133" i="1"/>
  <c r="E133" i="1" s="1"/>
  <c r="F133" i="1"/>
  <c r="AF3" i="1"/>
  <c r="AG3" i="1"/>
  <c r="AF4" i="1"/>
  <c r="AG4" i="1"/>
  <c r="AF5" i="1"/>
  <c r="AG5" i="1"/>
  <c r="AF6" i="1"/>
  <c r="AG6" i="1"/>
  <c r="AF7" i="1"/>
  <c r="AG7" i="1"/>
  <c r="AF8" i="1"/>
  <c r="AG8" i="1"/>
  <c r="AF9" i="1"/>
  <c r="AG9" i="1"/>
  <c r="AF10" i="1"/>
  <c r="AG10" i="1"/>
  <c r="AF11" i="1"/>
  <c r="AG11" i="1"/>
  <c r="AF12" i="1"/>
  <c r="AG12" i="1"/>
  <c r="AF13" i="1"/>
  <c r="AG13" i="1"/>
  <c r="AF14" i="1"/>
  <c r="AG14" i="1"/>
  <c r="AF15" i="1"/>
  <c r="AG15" i="1"/>
  <c r="AF16" i="1"/>
  <c r="AG16" i="1"/>
  <c r="AF17" i="1"/>
  <c r="AG17" i="1"/>
  <c r="AF18" i="1"/>
  <c r="AG18" i="1"/>
  <c r="AF19" i="1"/>
  <c r="AG19" i="1"/>
  <c r="AF20" i="1"/>
  <c r="AG20" i="1"/>
  <c r="AF21" i="1"/>
  <c r="AG21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F40" i="1"/>
  <c r="AG40" i="1"/>
  <c r="AF41" i="1"/>
  <c r="AG41" i="1"/>
  <c r="AF42" i="1"/>
  <c r="AG42" i="1"/>
  <c r="AF43" i="1"/>
  <c r="AG43" i="1"/>
  <c r="AF44" i="1"/>
  <c r="AG44" i="1"/>
  <c r="AF45" i="1"/>
  <c r="AG45" i="1"/>
  <c r="AF46" i="1"/>
  <c r="AG46" i="1"/>
  <c r="AF47" i="1"/>
  <c r="AG47" i="1"/>
  <c r="AF48" i="1"/>
  <c r="AG48" i="1"/>
  <c r="AF49" i="1"/>
  <c r="AG49" i="1"/>
  <c r="AF50" i="1"/>
  <c r="AG50" i="1"/>
  <c r="AF51" i="1"/>
  <c r="AG51" i="1"/>
  <c r="AF52" i="1"/>
  <c r="AG52" i="1"/>
  <c r="AF53" i="1"/>
  <c r="AG53" i="1"/>
  <c r="AF54" i="1"/>
  <c r="AG54" i="1"/>
  <c r="AF55" i="1"/>
  <c r="AG55" i="1"/>
  <c r="AF56" i="1"/>
  <c r="AG56" i="1"/>
  <c r="AF57" i="1"/>
  <c r="AG57" i="1"/>
  <c r="AF58" i="1"/>
  <c r="AG58" i="1"/>
  <c r="AF59" i="1"/>
  <c r="AG59" i="1"/>
  <c r="AF60" i="1"/>
  <c r="AG60" i="1"/>
  <c r="AF61" i="1"/>
  <c r="AG61" i="1"/>
  <c r="AF62" i="1"/>
  <c r="AG62" i="1"/>
  <c r="AF63" i="1"/>
  <c r="AG63" i="1"/>
  <c r="AF64" i="1"/>
  <c r="AG64" i="1"/>
  <c r="AF65" i="1"/>
  <c r="AG65" i="1"/>
  <c r="AF66" i="1"/>
  <c r="AG66" i="1"/>
  <c r="AF67" i="1"/>
  <c r="AG67" i="1"/>
  <c r="AF68" i="1"/>
  <c r="AG68" i="1"/>
  <c r="AF69" i="1"/>
  <c r="AG69" i="1"/>
  <c r="AF70" i="1"/>
  <c r="AG70" i="1"/>
  <c r="AF71" i="1"/>
  <c r="AG71" i="1"/>
  <c r="AF72" i="1"/>
  <c r="AG72" i="1"/>
  <c r="AF73" i="1"/>
  <c r="AG73" i="1"/>
  <c r="AF74" i="1"/>
  <c r="AG74" i="1"/>
  <c r="AF75" i="1"/>
  <c r="AG75" i="1"/>
  <c r="AF76" i="1"/>
  <c r="AG76" i="1"/>
  <c r="AF77" i="1"/>
  <c r="AG77" i="1"/>
  <c r="AF78" i="1"/>
  <c r="AG78" i="1"/>
  <c r="AF79" i="1"/>
  <c r="AG79" i="1"/>
  <c r="AF80" i="1"/>
  <c r="AG80" i="1"/>
  <c r="AF81" i="1"/>
  <c r="AG81" i="1"/>
  <c r="AF82" i="1"/>
  <c r="AG82" i="1"/>
  <c r="AF83" i="1"/>
  <c r="AG83" i="1"/>
  <c r="AF84" i="1"/>
  <c r="AG84" i="1"/>
  <c r="AF85" i="1"/>
  <c r="AG85" i="1"/>
  <c r="AF86" i="1"/>
  <c r="AG86" i="1"/>
  <c r="AF87" i="1"/>
  <c r="AG87" i="1"/>
  <c r="AF88" i="1"/>
  <c r="AG88" i="1"/>
  <c r="AF89" i="1"/>
  <c r="AG89" i="1"/>
  <c r="AF90" i="1"/>
  <c r="AG90" i="1"/>
  <c r="AF91" i="1"/>
  <c r="AG91" i="1"/>
  <c r="AF92" i="1"/>
  <c r="AG92" i="1"/>
  <c r="AF93" i="1"/>
  <c r="AG93" i="1"/>
  <c r="AF94" i="1"/>
  <c r="AG94" i="1"/>
  <c r="AF95" i="1"/>
  <c r="AG95" i="1"/>
  <c r="AF96" i="1"/>
  <c r="AG96" i="1"/>
  <c r="AF97" i="1"/>
  <c r="AG97" i="1"/>
  <c r="AF98" i="1"/>
  <c r="AG98" i="1"/>
  <c r="AF99" i="1"/>
  <c r="AG99" i="1"/>
  <c r="AF100" i="1"/>
  <c r="AG100" i="1"/>
  <c r="AF101" i="1"/>
  <c r="AG101" i="1"/>
  <c r="AF102" i="1"/>
  <c r="AG102" i="1"/>
  <c r="AF103" i="1"/>
  <c r="AG103" i="1"/>
  <c r="AF104" i="1"/>
  <c r="AG104" i="1"/>
  <c r="AF105" i="1"/>
  <c r="AF106" i="1"/>
  <c r="AG106" i="1"/>
  <c r="AF107" i="1"/>
  <c r="AG107" i="1"/>
  <c r="AF108" i="1"/>
  <c r="AG108" i="1"/>
  <c r="AF109" i="1"/>
  <c r="AF110" i="1"/>
  <c r="AG110" i="1"/>
  <c r="AF111" i="1"/>
  <c r="AG111" i="1"/>
  <c r="AF112" i="1"/>
  <c r="AG112" i="1"/>
  <c r="AF113" i="1"/>
  <c r="AG113" i="1"/>
  <c r="AF114" i="1"/>
  <c r="AG114" i="1"/>
  <c r="AF115" i="1"/>
  <c r="AG115" i="1"/>
  <c r="AF116" i="1"/>
  <c r="AG116" i="1"/>
  <c r="AF117" i="1"/>
  <c r="AG117" i="1"/>
  <c r="AF118" i="1"/>
  <c r="AG118" i="1"/>
  <c r="AF119" i="1"/>
  <c r="AG119" i="1"/>
  <c r="AF120" i="1"/>
  <c r="AG120" i="1"/>
  <c r="AF121" i="1"/>
  <c r="AG121" i="1"/>
  <c r="AG2" i="1"/>
  <c r="AF2" i="1"/>
  <c r="AF124" i="1"/>
  <c r="AF123" i="1"/>
  <c r="AF122" i="1"/>
  <c r="C121" i="1"/>
  <c r="D121" i="1"/>
  <c r="E121" i="1" s="1"/>
  <c r="F121" i="1"/>
  <c r="C120" i="1"/>
  <c r="D120" i="1"/>
  <c r="E120" i="1" s="1"/>
  <c r="F120" i="1"/>
  <c r="C119" i="1"/>
  <c r="D119" i="1"/>
  <c r="E119" i="1" s="1"/>
  <c r="F119" i="1"/>
  <c r="H109" i="1"/>
  <c r="H44" i="1"/>
  <c r="F43" i="7"/>
  <c r="F60" i="7"/>
  <c r="F89" i="7"/>
  <c r="F59" i="7"/>
  <c r="F64" i="7"/>
  <c r="F38" i="7"/>
  <c r="F67" i="7"/>
  <c r="F68" i="7"/>
  <c r="F42" i="7"/>
  <c r="F75" i="7"/>
  <c r="F72" i="7"/>
  <c r="F46" i="7"/>
  <c r="F83" i="7"/>
  <c r="F76" i="7"/>
  <c r="F50" i="7"/>
  <c r="F36" i="7"/>
  <c r="F52" i="7"/>
  <c r="F39" i="7"/>
  <c r="F82" i="7"/>
  <c r="F56" i="7"/>
  <c r="F55" i="7"/>
  <c r="F86" i="7"/>
  <c r="F37" i="7"/>
  <c r="F65" i="7"/>
  <c r="F90" i="7"/>
  <c r="F45" i="7"/>
  <c r="F73" i="7"/>
  <c r="F34" i="7"/>
  <c r="F53" i="7"/>
  <c r="F81" i="7"/>
  <c r="F85" i="7"/>
  <c r="F51" i="7"/>
  <c r="F62" i="7"/>
  <c r="F93" i="7"/>
  <c r="F63" i="7"/>
  <c r="F66" i="7"/>
  <c r="F40" i="7"/>
  <c r="F71" i="7"/>
  <c r="F70" i="7"/>
  <c r="F44" i="7"/>
  <c r="F79" i="7"/>
  <c r="F74" i="7"/>
  <c r="F48" i="7"/>
  <c r="F87" i="7"/>
  <c r="F78" i="7"/>
  <c r="F91" i="7"/>
  <c r="F80" i="7"/>
  <c r="F54" i="7"/>
  <c r="F47" i="7"/>
  <c r="F84" i="7"/>
  <c r="F58" i="7"/>
  <c r="F61" i="7"/>
  <c r="F88" i="7"/>
  <c r="F41" i="7"/>
  <c r="F69" i="7"/>
  <c r="F92" i="7"/>
  <c r="F49" i="7"/>
  <c r="F77" i="7"/>
  <c r="F35" i="7"/>
  <c r="F57" i="7"/>
  <c r="M147" i="1" l="1"/>
  <c r="M148" i="1" s="1"/>
  <c r="M149" i="1" s="1"/>
  <c r="M152" i="1"/>
  <c r="M151" i="1"/>
  <c r="M142" i="1"/>
  <c r="M120" i="1"/>
  <c r="M146" i="1"/>
  <c r="M158" i="1"/>
  <c r="M144" i="1"/>
  <c r="M157" i="1" s="1"/>
  <c r="M138" i="1"/>
  <c r="M140" i="1"/>
  <c r="M143" i="1"/>
  <c r="M145" i="1" s="1"/>
  <c r="M154" i="1" s="1"/>
  <c r="M162" i="1" s="1"/>
  <c r="M163" i="1" s="1"/>
  <c r="M141" i="1"/>
  <c r="L44" i="1"/>
  <c r="M44" i="1" s="1"/>
  <c r="L109" i="1"/>
  <c r="M109" i="1" s="1"/>
  <c r="C30" i="1"/>
  <c r="D30" i="1"/>
  <c r="E30" i="1" s="1"/>
  <c r="F30" i="1"/>
  <c r="C31" i="1"/>
  <c r="D31" i="1"/>
  <c r="E31" i="1" s="1"/>
  <c r="F31" i="1"/>
  <c r="C32" i="1"/>
  <c r="D32" i="1"/>
  <c r="E32" i="1" s="1"/>
  <c r="F32" i="1"/>
  <c r="C33" i="1"/>
  <c r="D33" i="1"/>
  <c r="E33" i="1" s="1"/>
  <c r="F33" i="1"/>
  <c r="C34" i="1"/>
  <c r="D34" i="1"/>
  <c r="E34" i="1" s="1"/>
  <c r="F34" i="1"/>
  <c r="C35" i="1"/>
  <c r="D35" i="1"/>
  <c r="E35" i="1" s="1"/>
  <c r="F35" i="1"/>
  <c r="C36" i="1"/>
  <c r="D36" i="1"/>
  <c r="E36" i="1" s="1"/>
  <c r="F36" i="1"/>
  <c r="C37" i="1"/>
  <c r="D37" i="1"/>
  <c r="E37" i="1" s="1"/>
  <c r="F37" i="1"/>
  <c r="C38" i="1"/>
  <c r="D38" i="1"/>
  <c r="E38" i="1" s="1"/>
  <c r="F38" i="1"/>
  <c r="C39" i="1"/>
  <c r="D39" i="1"/>
  <c r="E39" i="1" s="1"/>
  <c r="F39" i="1"/>
  <c r="C40" i="1"/>
  <c r="D40" i="1"/>
  <c r="E40" i="1" s="1"/>
  <c r="F40" i="1"/>
  <c r="C41" i="1"/>
  <c r="D41" i="1"/>
  <c r="E41" i="1" s="1"/>
  <c r="F41" i="1"/>
  <c r="C42" i="1"/>
  <c r="D42" i="1"/>
  <c r="E42" i="1" s="1"/>
  <c r="F42" i="1"/>
  <c r="C43" i="1"/>
  <c r="D43" i="1"/>
  <c r="E43" i="1" s="1"/>
  <c r="F43" i="1"/>
  <c r="C44" i="1"/>
  <c r="D44" i="1"/>
  <c r="E44" i="1" s="1"/>
  <c r="F44" i="1"/>
  <c r="C45" i="1"/>
  <c r="D45" i="1"/>
  <c r="E45" i="1" s="1"/>
  <c r="F45" i="1"/>
  <c r="C46" i="1"/>
  <c r="D46" i="1"/>
  <c r="E46" i="1" s="1"/>
  <c r="F46" i="1"/>
  <c r="C47" i="1"/>
  <c r="D47" i="1"/>
  <c r="E47" i="1" s="1"/>
  <c r="F47" i="1"/>
  <c r="C48" i="1"/>
  <c r="D48" i="1"/>
  <c r="E48" i="1" s="1"/>
  <c r="F48" i="1"/>
  <c r="C49" i="1"/>
  <c r="D49" i="1"/>
  <c r="E49" i="1" s="1"/>
  <c r="F49" i="1"/>
  <c r="C50" i="1"/>
  <c r="D50" i="1"/>
  <c r="E50" i="1" s="1"/>
  <c r="F50" i="1"/>
  <c r="C51" i="1"/>
  <c r="D51" i="1"/>
  <c r="E51" i="1" s="1"/>
  <c r="F51" i="1"/>
  <c r="C52" i="1"/>
  <c r="D52" i="1"/>
  <c r="E52" i="1" s="1"/>
  <c r="F52" i="1"/>
  <c r="C53" i="1"/>
  <c r="D53" i="1"/>
  <c r="E53" i="1" s="1"/>
  <c r="F53" i="1"/>
  <c r="C54" i="1"/>
  <c r="D54" i="1"/>
  <c r="E54" i="1" s="1"/>
  <c r="F54" i="1"/>
  <c r="C55" i="1"/>
  <c r="D55" i="1"/>
  <c r="E55" i="1" s="1"/>
  <c r="F55" i="1"/>
  <c r="C56" i="1"/>
  <c r="D56" i="1"/>
  <c r="E56" i="1" s="1"/>
  <c r="F56" i="1"/>
  <c r="C57" i="1"/>
  <c r="D57" i="1"/>
  <c r="E57" i="1" s="1"/>
  <c r="F57" i="1"/>
  <c r="C58" i="1"/>
  <c r="D58" i="1"/>
  <c r="E58" i="1" s="1"/>
  <c r="F58" i="1"/>
  <c r="C59" i="1"/>
  <c r="D59" i="1"/>
  <c r="E59" i="1" s="1"/>
  <c r="F59" i="1"/>
  <c r="C60" i="1"/>
  <c r="D60" i="1"/>
  <c r="E60" i="1" s="1"/>
  <c r="F60" i="1"/>
  <c r="C61" i="1"/>
  <c r="D61" i="1"/>
  <c r="E61" i="1" s="1"/>
  <c r="F61" i="1"/>
  <c r="C62" i="1"/>
  <c r="D62" i="1"/>
  <c r="E62" i="1" s="1"/>
  <c r="F62" i="1"/>
  <c r="C63" i="1"/>
  <c r="D63" i="1"/>
  <c r="E63" i="1" s="1"/>
  <c r="F63" i="1"/>
  <c r="C64" i="1"/>
  <c r="D64" i="1"/>
  <c r="E64" i="1" s="1"/>
  <c r="F64" i="1"/>
  <c r="C65" i="1"/>
  <c r="D65" i="1"/>
  <c r="E65" i="1" s="1"/>
  <c r="F65" i="1"/>
  <c r="C66" i="1"/>
  <c r="D66" i="1"/>
  <c r="E66" i="1" s="1"/>
  <c r="F66" i="1"/>
  <c r="C67" i="1"/>
  <c r="D67" i="1"/>
  <c r="E67" i="1" s="1"/>
  <c r="F67" i="1"/>
  <c r="C68" i="1"/>
  <c r="D68" i="1"/>
  <c r="E68" i="1" s="1"/>
  <c r="F68" i="1"/>
  <c r="C69" i="1"/>
  <c r="D69" i="1"/>
  <c r="E69" i="1" s="1"/>
  <c r="F69" i="1"/>
  <c r="C70" i="1"/>
  <c r="D70" i="1"/>
  <c r="E70" i="1" s="1"/>
  <c r="F70" i="1"/>
  <c r="C71" i="1"/>
  <c r="D71" i="1"/>
  <c r="E71" i="1" s="1"/>
  <c r="F71" i="1"/>
  <c r="C72" i="1"/>
  <c r="D72" i="1"/>
  <c r="E72" i="1" s="1"/>
  <c r="F72" i="1"/>
  <c r="C73" i="1"/>
  <c r="D73" i="1"/>
  <c r="E73" i="1" s="1"/>
  <c r="F73" i="1"/>
  <c r="C74" i="1"/>
  <c r="D74" i="1"/>
  <c r="E74" i="1" s="1"/>
  <c r="F74" i="1"/>
  <c r="C75" i="1"/>
  <c r="D75" i="1"/>
  <c r="E75" i="1" s="1"/>
  <c r="F75" i="1"/>
  <c r="C76" i="1"/>
  <c r="D76" i="1"/>
  <c r="E76" i="1" s="1"/>
  <c r="F76" i="1"/>
  <c r="C77" i="1"/>
  <c r="D77" i="1"/>
  <c r="E77" i="1" s="1"/>
  <c r="F77" i="1"/>
  <c r="C78" i="1"/>
  <c r="D78" i="1"/>
  <c r="E78" i="1" s="1"/>
  <c r="F78" i="1"/>
  <c r="C79" i="1"/>
  <c r="D79" i="1"/>
  <c r="E79" i="1" s="1"/>
  <c r="F79" i="1"/>
  <c r="C80" i="1"/>
  <c r="D80" i="1"/>
  <c r="E80" i="1" s="1"/>
  <c r="F80" i="1"/>
  <c r="C81" i="1"/>
  <c r="D81" i="1"/>
  <c r="E81" i="1" s="1"/>
  <c r="F81" i="1"/>
  <c r="C82" i="1"/>
  <c r="D82" i="1"/>
  <c r="E82" i="1" s="1"/>
  <c r="F82" i="1"/>
  <c r="C83" i="1"/>
  <c r="D83" i="1"/>
  <c r="E83" i="1" s="1"/>
  <c r="F83" i="1"/>
  <c r="C84" i="1"/>
  <c r="D84" i="1"/>
  <c r="E84" i="1" s="1"/>
  <c r="F84" i="1"/>
  <c r="C85" i="1"/>
  <c r="D85" i="1"/>
  <c r="E85" i="1" s="1"/>
  <c r="F85" i="1"/>
  <c r="C86" i="1"/>
  <c r="D86" i="1"/>
  <c r="E86" i="1" s="1"/>
  <c r="F86" i="1"/>
  <c r="C87" i="1"/>
  <c r="D87" i="1"/>
  <c r="E87" i="1" s="1"/>
  <c r="F87" i="1"/>
  <c r="C88" i="1"/>
  <c r="D88" i="1"/>
  <c r="E88" i="1" s="1"/>
  <c r="F88" i="1"/>
  <c r="C89" i="1"/>
  <c r="D89" i="1"/>
  <c r="E89" i="1" s="1"/>
  <c r="C90" i="1"/>
  <c r="D90" i="1"/>
  <c r="E90" i="1" s="1"/>
  <c r="F90" i="1"/>
  <c r="C91" i="1"/>
  <c r="D91" i="1"/>
  <c r="E91" i="1" s="1"/>
  <c r="F91" i="1"/>
  <c r="C92" i="1"/>
  <c r="D92" i="1"/>
  <c r="E92" i="1" s="1"/>
  <c r="F92" i="1"/>
  <c r="C93" i="1"/>
  <c r="D93" i="1"/>
  <c r="E93" i="1" s="1"/>
  <c r="F93" i="1"/>
  <c r="C94" i="1"/>
  <c r="D94" i="1"/>
  <c r="E94" i="1" s="1"/>
  <c r="F94" i="1"/>
  <c r="C95" i="1"/>
  <c r="D95" i="1"/>
  <c r="E95" i="1" s="1"/>
  <c r="F95" i="1"/>
  <c r="C96" i="1"/>
  <c r="D96" i="1"/>
  <c r="E96" i="1" s="1"/>
  <c r="F96" i="1"/>
  <c r="C97" i="1"/>
  <c r="D97" i="1"/>
  <c r="E97" i="1" s="1"/>
  <c r="F97" i="1"/>
  <c r="C98" i="1"/>
  <c r="D98" i="1"/>
  <c r="E98" i="1" s="1"/>
  <c r="F98" i="1"/>
  <c r="C99" i="1"/>
  <c r="D99" i="1"/>
  <c r="E99" i="1" s="1"/>
  <c r="F99" i="1"/>
  <c r="C100" i="1"/>
  <c r="D100" i="1"/>
  <c r="E100" i="1" s="1"/>
  <c r="F100" i="1"/>
  <c r="C101" i="1"/>
  <c r="D101" i="1"/>
  <c r="E101" i="1" s="1"/>
  <c r="F101" i="1"/>
  <c r="C102" i="1"/>
  <c r="D102" i="1"/>
  <c r="E102" i="1" s="1"/>
  <c r="F102" i="1"/>
  <c r="C103" i="1"/>
  <c r="D103" i="1"/>
  <c r="E103" i="1" s="1"/>
  <c r="F103" i="1"/>
  <c r="C104" i="1"/>
  <c r="D104" i="1"/>
  <c r="E104" i="1" s="1"/>
  <c r="F104" i="1"/>
  <c r="C105" i="1"/>
  <c r="D105" i="1"/>
  <c r="E105" i="1" s="1"/>
  <c r="F105" i="1"/>
  <c r="C106" i="1"/>
  <c r="D106" i="1"/>
  <c r="E106" i="1" s="1"/>
  <c r="F106" i="1"/>
  <c r="C107" i="1"/>
  <c r="D107" i="1"/>
  <c r="E107" i="1" s="1"/>
  <c r="F107" i="1"/>
  <c r="C108" i="1"/>
  <c r="D108" i="1"/>
  <c r="E108" i="1" s="1"/>
  <c r="F108" i="1"/>
  <c r="C109" i="1"/>
  <c r="D109" i="1"/>
  <c r="E109" i="1" s="1"/>
  <c r="F109" i="1"/>
  <c r="C110" i="1"/>
  <c r="D110" i="1"/>
  <c r="E110" i="1" s="1"/>
  <c r="F110" i="1"/>
  <c r="C111" i="1"/>
  <c r="D111" i="1"/>
  <c r="E111" i="1" s="1"/>
  <c r="F111" i="1"/>
  <c r="C112" i="1"/>
  <c r="D112" i="1"/>
  <c r="E112" i="1" s="1"/>
  <c r="F112" i="1"/>
  <c r="C113" i="1"/>
  <c r="D113" i="1"/>
  <c r="E113" i="1" s="1"/>
  <c r="F113" i="1"/>
  <c r="C114" i="1"/>
  <c r="D114" i="1"/>
  <c r="E114" i="1" s="1"/>
  <c r="F114" i="1"/>
  <c r="C115" i="1"/>
  <c r="D115" i="1"/>
  <c r="E115" i="1" s="1"/>
  <c r="F115" i="1"/>
  <c r="C116" i="1"/>
  <c r="D116" i="1"/>
  <c r="E116" i="1" s="1"/>
  <c r="F116" i="1"/>
  <c r="C117" i="1"/>
  <c r="D117" i="1"/>
  <c r="E117" i="1" s="1"/>
  <c r="F117" i="1"/>
  <c r="C118" i="1"/>
  <c r="D118" i="1"/>
  <c r="E118" i="1" s="1"/>
  <c r="F118" i="1"/>
  <c r="C122" i="1"/>
  <c r="D122" i="1"/>
  <c r="E122" i="1" s="1"/>
  <c r="F122" i="1"/>
  <c r="C123" i="1"/>
  <c r="D123" i="1"/>
  <c r="E123" i="1" s="1"/>
  <c r="F123" i="1"/>
  <c r="C124" i="1"/>
  <c r="D124" i="1"/>
  <c r="E124" i="1" s="1"/>
  <c r="F124" i="1"/>
  <c r="C29" i="1" l="1"/>
  <c r="D29" i="1"/>
  <c r="E29" i="1" s="1"/>
  <c r="F29" i="1"/>
  <c r="C28" i="1"/>
  <c r="D28" i="1"/>
  <c r="E28" i="1" s="1"/>
  <c r="F28" i="1"/>
  <c r="C26" i="1"/>
  <c r="D26" i="1"/>
  <c r="E26" i="1" s="1"/>
  <c r="F26" i="1"/>
  <c r="C27" i="1"/>
  <c r="D27" i="1"/>
  <c r="E27" i="1" s="1"/>
  <c r="F27" i="1"/>
  <c r="C24" i="1"/>
  <c r="D24" i="1"/>
  <c r="E24" i="1" s="1"/>
  <c r="F24" i="1"/>
  <c r="C25" i="1"/>
  <c r="D25" i="1"/>
  <c r="E25" i="1" s="1"/>
  <c r="F25" i="1"/>
  <c r="C3" i="1" l="1"/>
  <c r="D3" i="1"/>
  <c r="E3" i="1" s="1"/>
  <c r="F3" i="1"/>
  <c r="C4" i="1"/>
  <c r="D4" i="1"/>
  <c r="E4" i="1" s="1"/>
  <c r="F4" i="1"/>
  <c r="C5" i="1"/>
  <c r="D5" i="1"/>
  <c r="E5" i="1" s="1"/>
  <c r="F5" i="1"/>
  <c r="C6" i="1"/>
  <c r="D6" i="1"/>
  <c r="E6" i="1" s="1"/>
  <c r="F6" i="1"/>
  <c r="C7" i="1"/>
  <c r="D7" i="1"/>
  <c r="E7" i="1" s="1"/>
  <c r="F7" i="1"/>
  <c r="C8" i="1"/>
  <c r="D8" i="1"/>
  <c r="E8" i="1" s="1"/>
  <c r="F8" i="1"/>
  <c r="C9" i="1"/>
  <c r="D9" i="1"/>
  <c r="E9" i="1" s="1"/>
  <c r="F9" i="1"/>
  <c r="C10" i="1"/>
  <c r="D10" i="1"/>
  <c r="E10" i="1" s="1"/>
  <c r="F10" i="1"/>
  <c r="C11" i="1"/>
  <c r="D11" i="1"/>
  <c r="E11" i="1" s="1"/>
  <c r="F11" i="1"/>
  <c r="C12" i="1"/>
  <c r="D12" i="1"/>
  <c r="E12" i="1" s="1"/>
  <c r="F12" i="1"/>
  <c r="C13" i="1"/>
  <c r="D13" i="1"/>
  <c r="E13" i="1" s="1"/>
  <c r="F13" i="1"/>
  <c r="C14" i="1"/>
  <c r="D14" i="1"/>
  <c r="E14" i="1" s="1"/>
  <c r="F14" i="1"/>
  <c r="C15" i="1"/>
  <c r="D15" i="1"/>
  <c r="E15" i="1" s="1"/>
  <c r="F15" i="1"/>
  <c r="C16" i="1"/>
  <c r="D16" i="1"/>
  <c r="E16" i="1" s="1"/>
  <c r="F16" i="1"/>
  <c r="C17" i="1"/>
  <c r="D17" i="1"/>
  <c r="E17" i="1" s="1"/>
  <c r="F17" i="1"/>
  <c r="C18" i="1"/>
  <c r="D18" i="1"/>
  <c r="E18" i="1" s="1"/>
  <c r="F18" i="1"/>
  <c r="C19" i="1"/>
  <c r="D19" i="1"/>
  <c r="E19" i="1" s="1"/>
  <c r="F19" i="1"/>
  <c r="C20" i="1"/>
  <c r="D20" i="1"/>
  <c r="E20" i="1" s="1"/>
  <c r="F20" i="1"/>
  <c r="C21" i="1"/>
  <c r="D21" i="1"/>
  <c r="E21" i="1" s="1"/>
  <c r="F21" i="1"/>
  <c r="C22" i="1"/>
  <c r="D22" i="1"/>
  <c r="E22" i="1" s="1"/>
  <c r="F22" i="1"/>
  <c r="C23" i="1"/>
  <c r="D23" i="1"/>
  <c r="E23" i="1" s="1"/>
  <c r="F23" i="1"/>
  <c r="F2" i="1"/>
  <c r="D2" i="1"/>
  <c r="E2" i="1" s="1"/>
  <c r="C2" i="1"/>
  <c r="F15" i="7"/>
  <c r="F16" i="7"/>
  <c r="G16" i="7" s="1"/>
  <c r="F17" i="7"/>
  <c r="F18" i="7"/>
  <c r="G18" i="7" s="1"/>
  <c r="H18" i="7" s="1"/>
  <c r="I18" i="7" s="1"/>
  <c r="F19" i="7"/>
  <c r="G19" i="7" s="1"/>
  <c r="H19" i="7" s="1"/>
  <c r="F20" i="7"/>
  <c r="G20" i="7" s="1"/>
  <c r="H20" i="7" s="1"/>
  <c r="F21" i="7"/>
  <c r="F22" i="7"/>
  <c r="G22" i="7" s="1"/>
  <c r="H22" i="7" s="1"/>
  <c r="I22" i="7" s="1"/>
  <c r="F23" i="7"/>
  <c r="G23" i="7" s="1"/>
  <c r="H23" i="7" s="1"/>
  <c r="I23" i="7" s="1"/>
  <c r="F24" i="7"/>
  <c r="G24" i="7" s="1"/>
  <c r="H24" i="7" s="1"/>
  <c r="I24" i="7" s="1"/>
  <c r="F25" i="7"/>
  <c r="F26" i="7"/>
  <c r="F27" i="7"/>
  <c r="F14" i="7"/>
  <c r="F13" i="7" l="1"/>
  <c r="F5" i="6" l="1"/>
  <c r="I1" i="1"/>
  <c r="I190" i="1" s="1"/>
  <c r="E5" i="6"/>
  <c r="G5" i="6" s="1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G15" i="6" s="1"/>
  <c r="I15" i="6" s="1"/>
  <c r="F15" i="6"/>
  <c r="E16" i="6"/>
  <c r="F16" i="6"/>
  <c r="E17" i="6"/>
  <c r="F17" i="6"/>
  <c r="E18" i="6"/>
  <c r="F18" i="6"/>
  <c r="E19" i="6"/>
  <c r="F19" i="6"/>
  <c r="E20" i="6"/>
  <c r="F20" i="6"/>
  <c r="E21" i="6"/>
  <c r="F21" i="6"/>
  <c r="E22" i="6"/>
  <c r="G22" i="6" s="1"/>
  <c r="I22" i="6" s="1"/>
  <c r="F22" i="6"/>
  <c r="E23" i="6"/>
  <c r="F23" i="6"/>
  <c r="E24" i="6"/>
  <c r="F24" i="6"/>
  <c r="E25" i="6"/>
  <c r="F25" i="6"/>
  <c r="E26" i="6"/>
  <c r="F26" i="6"/>
  <c r="E27" i="6"/>
  <c r="F27" i="6"/>
  <c r="G27" i="6"/>
  <c r="I27" i="6" s="1"/>
  <c r="E28" i="6"/>
  <c r="F28" i="6"/>
  <c r="G28" i="6" s="1"/>
  <c r="I28" i="6" s="1"/>
  <c r="E29" i="6"/>
  <c r="F29" i="6"/>
  <c r="G29" i="6" s="1"/>
  <c r="I29" i="6" s="1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0" i="6"/>
  <c r="F40" i="6"/>
  <c r="E41" i="6"/>
  <c r="F41" i="6"/>
  <c r="E42" i="6"/>
  <c r="F42" i="6"/>
  <c r="E43" i="6"/>
  <c r="F43" i="6"/>
  <c r="G43" i="6" s="1"/>
  <c r="I43" i="6" s="1"/>
  <c r="E44" i="6"/>
  <c r="F44" i="6"/>
  <c r="G13" i="7"/>
  <c r="G14" i="7"/>
  <c r="G15" i="7"/>
  <c r="G17" i="7"/>
  <c r="H17" i="7" s="1"/>
  <c r="I17" i="7" s="1"/>
  <c r="D53" i="7" s="1"/>
  <c r="G21" i="7"/>
  <c r="H21" i="7" s="1"/>
  <c r="I21" i="7" s="1"/>
  <c r="G25" i="7"/>
  <c r="H25" i="7" s="1"/>
  <c r="I25" i="7" s="1"/>
  <c r="G26" i="7"/>
  <c r="H26" i="7" s="1"/>
  <c r="I26" i="7" s="1"/>
  <c r="G27" i="7"/>
  <c r="D34" i="7"/>
  <c r="D38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I192" i="1" l="1"/>
  <c r="I193" i="1"/>
  <c r="I189" i="1"/>
  <c r="I191" i="1"/>
  <c r="I187" i="1"/>
  <c r="I188" i="1"/>
  <c r="I185" i="1"/>
  <c r="I186" i="1"/>
  <c r="I183" i="1"/>
  <c r="I184" i="1"/>
  <c r="I181" i="1"/>
  <c r="I182" i="1"/>
  <c r="I179" i="1"/>
  <c r="I180" i="1"/>
  <c r="L151" i="1"/>
  <c r="H151" i="1"/>
  <c r="N151" i="1" s="1"/>
  <c r="H142" i="1"/>
  <c r="N142" i="1" s="1"/>
  <c r="H137" i="1"/>
  <c r="N137" i="1" s="1"/>
  <c r="H19" i="1"/>
  <c r="H23" i="1"/>
  <c r="H27" i="1"/>
  <c r="H33" i="1"/>
  <c r="H54" i="1"/>
  <c r="H66" i="1"/>
  <c r="H74" i="1"/>
  <c r="L142" i="1"/>
  <c r="L137" i="1"/>
  <c r="M137" i="1" s="1"/>
  <c r="H84" i="1"/>
  <c r="H30" i="1"/>
  <c r="H34" i="1"/>
  <c r="H69" i="1"/>
  <c r="H15" i="1"/>
  <c r="H47" i="1"/>
  <c r="H63" i="1"/>
  <c r="H75" i="1"/>
  <c r="L19" i="1"/>
  <c r="M19" i="1" s="1"/>
  <c r="L23" i="1"/>
  <c r="M23" i="1" s="1"/>
  <c r="L27" i="1"/>
  <c r="M27" i="1" s="1"/>
  <c r="L33" i="1"/>
  <c r="M33" i="1" s="1"/>
  <c r="L54" i="1"/>
  <c r="M54" i="1" s="1"/>
  <c r="L66" i="1"/>
  <c r="M66" i="1" s="1"/>
  <c r="L74" i="1"/>
  <c r="M74" i="1" s="1"/>
  <c r="L84" i="1"/>
  <c r="M84" i="1" s="1"/>
  <c r="L15" i="1"/>
  <c r="M15" i="1" s="1"/>
  <c r="L30" i="1"/>
  <c r="M30" i="1" s="1"/>
  <c r="L34" i="1"/>
  <c r="M34" i="1" s="1"/>
  <c r="L47" i="1"/>
  <c r="M47" i="1" s="1"/>
  <c r="L63" i="1"/>
  <c r="M63" i="1" s="1"/>
  <c r="L69" i="1"/>
  <c r="M69" i="1" s="1"/>
  <c r="L75" i="1"/>
  <c r="M75" i="1" s="1"/>
  <c r="H104" i="1"/>
  <c r="H29" i="1"/>
  <c r="L29" i="1"/>
  <c r="M29" i="1" s="1"/>
  <c r="L104" i="1"/>
  <c r="M104" i="1" s="1"/>
  <c r="H162" i="1"/>
  <c r="N162" i="1" s="1"/>
  <c r="L162" i="1"/>
  <c r="L154" i="1"/>
  <c r="H145" i="1"/>
  <c r="N145" i="1" s="1"/>
  <c r="L145" i="1"/>
  <c r="H143" i="1"/>
  <c r="N143" i="1" s="1"/>
  <c r="H141" i="1"/>
  <c r="N141" i="1" s="1"/>
  <c r="L141" i="1"/>
  <c r="H139" i="1"/>
  <c r="N139" i="1" s="1"/>
  <c r="L139" i="1"/>
  <c r="M139" i="1" s="1"/>
  <c r="H154" i="1"/>
  <c r="N154" i="1" s="1"/>
  <c r="L143" i="1"/>
  <c r="L121" i="1"/>
  <c r="M121" i="1" s="1"/>
  <c r="H96" i="1"/>
  <c r="H98" i="1"/>
  <c r="H110" i="1"/>
  <c r="H83" i="1"/>
  <c r="H85" i="1"/>
  <c r="H89" i="1"/>
  <c r="H91" i="1"/>
  <c r="H62" i="1"/>
  <c r="H72" i="1"/>
  <c r="H82" i="1"/>
  <c r="H99" i="1"/>
  <c r="H121" i="1"/>
  <c r="H101" i="1"/>
  <c r="H90" i="1"/>
  <c r="H71" i="1"/>
  <c r="L62" i="1"/>
  <c r="M62" i="1" s="1"/>
  <c r="L72" i="1"/>
  <c r="M72" i="1" s="1"/>
  <c r="L82" i="1"/>
  <c r="M82" i="1" s="1"/>
  <c r="L90" i="1"/>
  <c r="M90" i="1" s="1"/>
  <c r="L96" i="1"/>
  <c r="M96" i="1" s="1"/>
  <c r="L98" i="1"/>
  <c r="M98" i="1" s="1"/>
  <c r="L110" i="1"/>
  <c r="M110" i="1" s="1"/>
  <c r="L71" i="1"/>
  <c r="M71" i="1" s="1"/>
  <c r="L83" i="1"/>
  <c r="M83" i="1" s="1"/>
  <c r="L85" i="1"/>
  <c r="M85" i="1" s="1"/>
  <c r="L89" i="1"/>
  <c r="M89" i="1" s="1"/>
  <c r="L91" i="1"/>
  <c r="M91" i="1" s="1"/>
  <c r="L99" i="1"/>
  <c r="M99" i="1" s="1"/>
  <c r="L101" i="1"/>
  <c r="M101" i="1" s="1"/>
  <c r="H92" i="1"/>
  <c r="H65" i="1"/>
  <c r="L92" i="1"/>
  <c r="M92" i="1" s="1"/>
  <c r="L65" i="1"/>
  <c r="M65" i="1" s="1"/>
  <c r="H108" i="1"/>
  <c r="L108" i="1"/>
  <c r="M108" i="1" s="1"/>
  <c r="H58" i="1"/>
  <c r="H24" i="1"/>
  <c r="L58" i="1"/>
  <c r="M58" i="1" s="1"/>
  <c r="L24" i="1"/>
  <c r="M24" i="1" s="1"/>
  <c r="H158" i="1"/>
  <c r="N158" i="1" s="1"/>
  <c r="H6" i="1"/>
  <c r="H46" i="1"/>
  <c r="H52" i="1"/>
  <c r="H60" i="1"/>
  <c r="L158" i="1"/>
  <c r="H43" i="1"/>
  <c r="H97" i="1"/>
  <c r="L6" i="1"/>
  <c r="M6" i="1" s="1"/>
  <c r="L46" i="1"/>
  <c r="M46" i="1" s="1"/>
  <c r="L52" i="1"/>
  <c r="M52" i="1" s="1"/>
  <c r="L60" i="1"/>
  <c r="M60" i="1" s="1"/>
  <c r="L43" i="1"/>
  <c r="M43" i="1" s="1"/>
  <c r="L97" i="1"/>
  <c r="M97" i="1" s="1"/>
  <c r="H100" i="1"/>
  <c r="H2" i="1"/>
  <c r="L100" i="1"/>
  <c r="M100" i="1" s="1"/>
  <c r="L2" i="1"/>
  <c r="M2" i="1" s="1"/>
  <c r="H116" i="1"/>
  <c r="H88" i="1"/>
  <c r="L88" i="1"/>
  <c r="M88" i="1" s="1"/>
  <c r="L116" i="1"/>
  <c r="M116" i="1" s="1"/>
  <c r="H136" i="1"/>
  <c r="H106" i="1"/>
  <c r="H118" i="1"/>
  <c r="H50" i="1"/>
  <c r="H56" i="1"/>
  <c r="H70" i="1"/>
  <c r="H78" i="1"/>
  <c r="H13" i="1"/>
  <c r="H39" i="1"/>
  <c r="H53" i="1"/>
  <c r="H61" i="1"/>
  <c r="L136" i="1"/>
  <c r="M136" i="1" s="1"/>
  <c r="M153" i="1" s="1"/>
  <c r="H105" i="1"/>
  <c r="H37" i="1"/>
  <c r="H51" i="1"/>
  <c r="H59" i="1"/>
  <c r="L50" i="1"/>
  <c r="M50" i="1" s="1"/>
  <c r="L56" i="1"/>
  <c r="M56" i="1" s="1"/>
  <c r="L70" i="1"/>
  <c r="M70" i="1" s="1"/>
  <c r="L78" i="1"/>
  <c r="M78" i="1" s="1"/>
  <c r="L106" i="1"/>
  <c r="M106" i="1" s="1"/>
  <c r="L118" i="1"/>
  <c r="M118" i="1" s="1"/>
  <c r="L13" i="1"/>
  <c r="M13" i="1" s="1"/>
  <c r="L37" i="1"/>
  <c r="M37" i="1" s="1"/>
  <c r="L39" i="1"/>
  <c r="M39" i="1" s="1"/>
  <c r="L51" i="1"/>
  <c r="M51" i="1" s="1"/>
  <c r="L53" i="1"/>
  <c r="M53" i="1" s="1"/>
  <c r="L59" i="1"/>
  <c r="M59" i="1" s="1"/>
  <c r="L61" i="1"/>
  <c r="M61" i="1" s="1"/>
  <c r="L105" i="1"/>
  <c r="M105" i="1" s="1"/>
  <c r="G44" i="6"/>
  <c r="I44" i="6" s="1"/>
  <c r="G42" i="6"/>
  <c r="I42" i="6" s="1"/>
  <c r="G41" i="6"/>
  <c r="I41" i="6" s="1"/>
  <c r="G40" i="6"/>
  <c r="I40" i="6" s="1"/>
  <c r="G36" i="6"/>
  <c r="I36" i="6" s="1"/>
  <c r="G31" i="6"/>
  <c r="I31" i="6" s="1"/>
  <c r="G17" i="6"/>
  <c r="I17" i="6" s="1"/>
  <c r="G16" i="6"/>
  <c r="I16" i="6" s="1"/>
  <c r="I5" i="6"/>
  <c r="K136" i="1"/>
  <c r="K134" i="1"/>
  <c r="K135" i="1"/>
  <c r="I177" i="1"/>
  <c r="I178" i="1"/>
  <c r="I175" i="1"/>
  <c r="I176" i="1"/>
  <c r="I173" i="1"/>
  <c r="I174" i="1"/>
  <c r="I171" i="1"/>
  <c r="I172" i="1"/>
  <c r="I169" i="1"/>
  <c r="I170" i="1"/>
  <c r="I167" i="1"/>
  <c r="I168" i="1"/>
  <c r="I165" i="1"/>
  <c r="I166" i="1"/>
  <c r="I163" i="1"/>
  <c r="I164" i="1"/>
  <c r="I161" i="1"/>
  <c r="I162" i="1"/>
  <c r="I159" i="1"/>
  <c r="I160" i="1"/>
  <c r="I157" i="1"/>
  <c r="I158" i="1"/>
  <c r="I155" i="1"/>
  <c r="I156" i="1"/>
  <c r="I153" i="1"/>
  <c r="I154" i="1"/>
  <c r="I151" i="1"/>
  <c r="I152" i="1"/>
  <c r="I149" i="1"/>
  <c r="I150" i="1"/>
  <c r="I147" i="1"/>
  <c r="I148" i="1"/>
  <c r="I145" i="1"/>
  <c r="I146" i="1"/>
  <c r="I143" i="1"/>
  <c r="I144" i="1"/>
  <c r="I141" i="1"/>
  <c r="I142" i="1"/>
  <c r="I139" i="1"/>
  <c r="I140" i="1"/>
  <c r="I137" i="1"/>
  <c r="I138" i="1"/>
  <c r="I135" i="1"/>
  <c r="I136" i="1"/>
  <c r="I121" i="1"/>
  <c r="J121" i="1" s="1"/>
  <c r="K121" i="1" s="1"/>
  <c r="N121" i="1" s="1"/>
  <c r="I125" i="1"/>
  <c r="J125" i="1" s="1"/>
  <c r="K125" i="1" s="1"/>
  <c r="I129" i="1"/>
  <c r="J129" i="1" s="1"/>
  <c r="K129" i="1" s="1"/>
  <c r="I133" i="1"/>
  <c r="J133" i="1" s="1"/>
  <c r="K133" i="1" s="1"/>
  <c r="I128" i="1"/>
  <c r="J128" i="1" s="1"/>
  <c r="K128" i="1" s="1"/>
  <c r="I132" i="1"/>
  <c r="J132" i="1" s="1"/>
  <c r="K132" i="1" s="1"/>
  <c r="I127" i="1"/>
  <c r="J127" i="1" s="1"/>
  <c r="K127" i="1" s="1"/>
  <c r="I131" i="1"/>
  <c r="J131" i="1" s="1"/>
  <c r="K131" i="1" s="1"/>
  <c r="I126" i="1"/>
  <c r="J126" i="1" s="1"/>
  <c r="K126" i="1" s="1"/>
  <c r="I130" i="1"/>
  <c r="J130" i="1" s="1"/>
  <c r="K130" i="1" s="1"/>
  <c r="I134" i="1"/>
  <c r="I119" i="1"/>
  <c r="J119" i="1" s="1"/>
  <c r="K119" i="1" s="1"/>
  <c r="I120" i="1"/>
  <c r="J120" i="1" s="1"/>
  <c r="K120" i="1" s="1"/>
  <c r="I21" i="1"/>
  <c r="J21" i="1" s="1"/>
  <c r="I25" i="1"/>
  <c r="J25" i="1" s="1"/>
  <c r="I29" i="1"/>
  <c r="J29" i="1" s="1"/>
  <c r="I33" i="1"/>
  <c r="J33" i="1" s="1"/>
  <c r="I37" i="1"/>
  <c r="J37" i="1" s="1"/>
  <c r="I41" i="1"/>
  <c r="J41" i="1" s="1"/>
  <c r="I45" i="1"/>
  <c r="J45" i="1" s="1"/>
  <c r="I49" i="1"/>
  <c r="J49" i="1" s="1"/>
  <c r="K49" i="1" s="1"/>
  <c r="I53" i="1"/>
  <c r="J53" i="1" s="1"/>
  <c r="K53" i="1" s="1"/>
  <c r="N53" i="1" s="1"/>
  <c r="I57" i="1"/>
  <c r="J57" i="1" s="1"/>
  <c r="K57" i="1" s="1"/>
  <c r="I61" i="1"/>
  <c r="J61" i="1" s="1"/>
  <c r="K61" i="1" s="1"/>
  <c r="N61" i="1" s="1"/>
  <c r="I65" i="1"/>
  <c r="J65" i="1" s="1"/>
  <c r="I69" i="1"/>
  <c r="J69" i="1" s="1"/>
  <c r="K69" i="1" s="1"/>
  <c r="N69" i="1" s="1"/>
  <c r="I73" i="1"/>
  <c r="J73" i="1" s="1"/>
  <c r="K73" i="1" s="1"/>
  <c r="I77" i="1"/>
  <c r="J77" i="1" s="1"/>
  <c r="K77" i="1" s="1"/>
  <c r="I81" i="1"/>
  <c r="J81" i="1" s="1"/>
  <c r="K81" i="1" s="1"/>
  <c r="I85" i="1"/>
  <c r="J85" i="1" s="1"/>
  <c r="K85" i="1" s="1"/>
  <c r="N85" i="1" s="1"/>
  <c r="I89" i="1"/>
  <c r="J89" i="1" s="1"/>
  <c r="K89" i="1" s="1"/>
  <c r="N89" i="1" s="1"/>
  <c r="I93" i="1"/>
  <c r="J93" i="1" s="1"/>
  <c r="K93" i="1" s="1"/>
  <c r="I97" i="1"/>
  <c r="J97" i="1" s="1"/>
  <c r="I101" i="1"/>
  <c r="J101" i="1" s="1"/>
  <c r="K101" i="1" s="1"/>
  <c r="N101" i="1" s="1"/>
  <c r="I105" i="1"/>
  <c r="J105" i="1" s="1"/>
  <c r="K105" i="1" s="1"/>
  <c r="N105" i="1" s="1"/>
  <c r="I109" i="1"/>
  <c r="J109" i="1" s="1"/>
  <c r="K109" i="1" s="1"/>
  <c r="N109" i="1" s="1"/>
  <c r="I113" i="1"/>
  <c r="J113" i="1" s="1"/>
  <c r="K113" i="1" s="1"/>
  <c r="I117" i="1"/>
  <c r="J117" i="1" s="1"/>
  <c r="K117" i="1" s="1"/>
  <c r="J124" i="1"/>
  <c r="K124" i="1" s="1"/>
  <c r="I20" i="1"/>
  <c r="I24" i="1"/>
  <c r="I28" i="1"/>
  <c r="J28" i="1" s="1"/>
  <c r="I32" i="1"/>
  <c r="J32" i="1" s="1"/>
  <c r="I36" i="1"/>
  <c r="J36" i="1" s="1"/>
  <c r="K36" i="1" s="1"/>
  <c r="I40" i="1"/>
  <c r="J40" i="1" s="1"/>
  <c r="I44" i="1"/>
  <c r="J44" i="1" s="1"/>
  <c r="I48" i="1"/>
  <c r="J48" i="1" s="1"/>
  <c r="I52" i="1"/>
  <c r="J52" i="1" s="1"/>
  <c r="I56" i="1"/>
  <c r="J56" i="1" s="1"/>
  <c r="K56" i="1" s="1"/>
  <c r="N56" i="1" s="1"/>
  <c r="I60" i="1"/>
  <c r="J60" i="1" s="1"/>
  <c r="K60" i="1" s="1"/>
  <c r="N60" i="1" s="1"/>
  <c r="I64" i="1"/>
  <c r="J64" i="1" s="1"/>
  <c r="K64" i="1" s="1"/>
  <c r="I68" i="1"/>
  <c r="J68" i="1" s="1"/>
  <c r="K68" i="1" s="1"/>
  <c r="I72" i="1"/>
  <c r="J72" i="1" s="1"/>
  <c r="K72" i="1" s="1"/>
  <c r="I76" i="1"/>
  <c r="J76" i="1" s="1"/>
  <c r="K76" i="1" s="1"/>
  <c r="I80" i="1"/>
  <c r="J80" i="1" s="1"/>
  <c r="K80" i="1" s="1"/>
  <c r="I84" i="1"/>
  <c r="J84" i="1" s="1"/>
  <c r="K84" i="1" s="1"/>
  <c r="N84" i="1" s="1"/>
  <c r="I88" i="1"/>
  <c r="J88" i="1" s="1"/>
  <c r="K88" i="1" s="1"/>
  <c r="I92" i="1"/>
  <c r="J92" i="1" s="1"/>
  <c r="K92" i="1" s="1"/>
  <c r="N92" i="1" s="1"/>
  <c r="I96" i="1"/>
  <c r="J96" i="1" s="1"/>
  <c r="K96" i="1" s="1"/>
  <c r="I100" i="1"/>
  <c r="J100" i="1" s="1"/>
  <c r="I104" i="1"/>
  <c r="J104" i="1" s="1"/>
  <c r="I108" i="1"/>
  <c r="J108" i="1" s="1"/>
  <c r="K108" i="1" s="1"/>
  <c r="N108" i="1" s="1"/>
  <c r="I112" i="1"/>
  <c r="J112" i="1" s="1"/>
  <c r="I116" i="1"/>
  <c r="J116" i="1" s="1"/>
  <c r="J123" i="1"/>
  <c r="K123" i="1" s="1"/>
  <c r="I19" i="1"/>
  <c r="I23" i="1"/>
  <c r="J23" i="1" s="1"/>
  <c r="I27" i="1"/>
  <c r="J27" i="1" s="1"/>
  <c r="I31" i="1"/>
  <c r="J31" i="1" s="1"/>
  <c r="I35" i="1"/>
  <c r="J35" i="1" s="1"/>
  <c r="I39" i="1"/>
  <c r="J39" i="1" s="1"/>
  <c r="I43" i="1"/>
  <c r="J43" i="1" s="1"/>
  <c r="I47" i="1"/>
  <c r="J47" i="1" s="1"/>
  <c r="I51" i="1"/>
  <c r="J51" i="1" s="1"/>
  <c r="K51" i="1" s="1"/>
  <c r="N51" i="1" s="1"/>
  <c r="I55" i="1"/>
  <c r="J55" i="1" s="1"/>
  <c r="K55" i="1" s="1"/>
  <c r="I59" i="1"/>
  <c r="J59" i="1" s="1"/>
  <c r="K59" i="1" s="1"/>
  <c r="N59" i="1" s="1"/>
  <c r="I63" i="1"/>
  <c r="J63" i="1" s="1"/>
  <c r="I67" i="1"/>
  <c r="J67" i="1" s="1"/>
  <c r="K67" i="1" s="1"/>
  <c r="I71" i="1"/>
  <c r="J71" i="1" s="1"/>
  <c r="K71" i="1" s="1"/>
  <c r="I75" i="1"/>
  <c r="J75" i="1" s="1"/>
  <c r="K75" i="1" s="1"/>
  <c r="N75" i="1" s="1"/>
  <c r="I79" i="1"/>
  <c r="J79" i="1" s="1"/>
  <c r="K79" i="1" s="1"/>
  <c r="I83" i="1"/>
  <c r="J83" i="1" s="1"/>
  <c r="K83" i="1" s="1"/>
  <c r="N83" i="1" s="1"/>
  <c r="I87" i="1"/>
  <c r="J87" i="1" s="1"/>
  <c r="K87" i="1" s="1"/>
  <c r="I91" i="1"/>
  <c r="J91" i="1" s="1"/>
  <c r="K91" i="1" s="1"/>
  <c r="N91" i="1" s="1"/>
  <c r="I95" i="1"/>
  <c r="J95" i="1" s="1"/>
  <c r="K95" i="1" s="1"/>
  <c r="I99" i="1"/>
  <c r="J99" i="1" s="1"/>
  <c r="K99" i="1" s="1"/>
  <c r="N99" i="1" s="1"/>
  <c r="I103" i="1"/>
  <c r="J103" i="1" s="1"/>
  <c r="K103" i="1" s="1"/>
  <c r="I107" i="1"/>
  <c r="J107" i="1" s="1"/>
  <c r="K107" i="1" s="1"/>
  <c r="I111" i="1"/>
  <c r="J111" i="1" s="1"/>
  <c r="K111" i="1" s="1"/>
  <c r="I115" i="1"/>
  <c r="J115" i="1" s="1"/>
  <c r="K115" i="1" s="1"/>
  <c r="J122" i="1"/>
  <c r="I18" i="1"/>
  <c r="I22" i="1"/>
  <c r="I26" i="1"/>
  <c r="J26" i="1" s="1"/>
  <c r="I30" i="1"/>
  <c r="J30" i="1" s="1"/>
  <c r="I34" i="1"/>
  <c r="J34" i="1" s="1"/>
  <c r="I38" i="1"/>
  <c r="J38" i="1" s="1"/>
  <c r="I42" i="1"/>
  <c r="J42" i="1" s="1"/>
  <c r="I46" i="1"/>
  <c r="J46" i="1" s="1"/>
  <c r="I50" i="1"/>
  <c r="J50" i="1" s="1"/>
  <c r="I54" i="1"/>
  <c r="J54" i="1" s="1"/>
  <c r="K54" i="1" s="1"/>
  <c r="N54" i="1" s="1"/>
  <c r="I58" i="1"/>
  <c r="J58" i="1" s="1"/>
  <c r="K58" i="1" s="1"/>
  <c r="N58" i="1" s="1"/>
  <c r="I62" i="1"/>
  <c r="J62" i="1" s="1"/>
  <c r="K62" i="1" s="1"/>
  <c r="N62" i="1" s="1"/>
  <c r="I66" i="1"/>
  <c r="J66" i="1" s="1"/>
  <c r="K66" i="1" s="1"/>
  <c r="N66" i="1" s="1"/>
  <c r="I70" i="1"/>
  <c r="J70" i="1" s="1"/>
  <c r="K70" i="1" s="1"/>
  <c r="I74" i="1"/>
  <c r="J74" i="1" s="1"/>
  <c r="K74" i="1" s="1"/>
  <c r="N74" i="1" s="1"/>
  <c r="I78" i="1"/>
  <c r="J78" i="1" s="1"/>
  <c r="K78" i="1" s="1"/>
  <c r="N78" i="1" s="1"/>
  <c r="I82" i="1"/>
  <c r="J82" i="1" s="1"/>
  <c r="K82" i="1" s="1"/>
  <c r="N82" i="1" s="1"/>
  <c r="I86" i="1"/>
  <c r="J86" i="1" s="1"/>
  <c r="I90" i="1"/>
  <c r="J90" i="1" s="1"/>
  <c r="K90" i="1" s="1"/>
  <c r="N90" i="1" s="1"/>
  <c r="I94" i="1"/>
  <c r="J94" i="1" s="1"/>
  <c r="K94" i="1" s="1"/>
  <c r="I98" i="1"/>
  <c r="J98" i="1" s="1"/>
  <c r="K98" i="1" s="1"/>
  <c r="N98" i="1" s="1"/>
  <c r="I102" i="1"/>
  <c r="J102" i="1" s="1"/>
  <c r="K102" i="1" s="1"/>
  <c r="I106" i="1"/>
  <c r="J106" i="1" s="1"/>
  <c r="K106" i="1" s="1"/>
  <c r="N106" i="1" s="1"/>
  <c r="I110" i="1"/>
  <c r="J110" i="1" s="1"/>
  <c r="K110" i="1" s="1"/>
  <c r="I114" i="1"/>
  <c r="J114" i="1" s="1"/>
  <c r="K114" i="1" s="1"/>
  <c r="I118" i="1"/>
  <c r="J118" i="1" s="1"/>
  <c r="K118" i="1" s="1"/>
  <c r="N118" i="1" s="1"/>
  <c r="I6" i="1"/>
  <c r="J6" i="1" s="1"/>
  <c r="I10" i="1"/>
  <c r="I14" i="1"/>
  <c r="J14" i="1" s="1"/>
  <c r="I5" i="1"/>
  <c r="J5" i="1" s="1"/>
  <c r="I9" i="1"/>
  <c r="J9" i="1" s="1"/>
  <c r="I13" i="1"/>
  <c r="I17" i="1"/>
  <c r="J17" i="1" s="1"/>
  <c r="I4" i="1"/>
  <c r="J4" i="1" s="1"/>
  <c r="I8" i="1"/>
  <c r="J8" i="1" s="1"/>
  <c r="I12" i="1"/>
  <c r="J12" i="1" s="1"/>
  <c r="I16" i="1"/>
  <c r="J16" i="1" s="1"/>
  <c r="I3" i="1"/>
  <c r="J3" i="1" s="1"/>
  <c r="I7" i="1"/>
  <c r="J7" i="1" s="1"/>
  <c r="I11" i="1"/>
  <c r="I15" i="1"/>
  <c r="D67" i="7"/>
  <c r="D59" i="7"/>
  <c r="G38" i="6"/>
  <c r="I38" i="6" s="1"/>
  <c r="G34" i="6"/>
  <c r="I34" i="6" s="1"/>
  <c r="G32" i="6"/>
  <c r="I32" i="6" s="1"/>
  <c r="G23" i="6"/>
  <c r="I23" i="6" s="1"/>
  <c r="G12" i="6"/>
  <c r="I12" i="6" s="1"/>
  <c r="G6" i="6"/>
  <c r="I6" i="6" s="1"/>
  <c r="D63" i="7"/>
  <c r="G37" i="6"/>
  <c r="I37" i="6" s="1"/>
  <c r="G24" i="6"/>
  <c r="I24" i="6" s="1"/>
  <c r="G13" i="6"/>
  <c r="I13" i="6" s="1"/>
  <c r="G7" i="6"/>
  <c r="I7" i="6" s="1"/>
  <c r="D83" i="7"/>
  <c r="D76" i="7"/>
  <c r="D75" i="7"/>
  <c r="D81" i="7"/>
  <c r="D79" i="7"/>
  <c r="D72" i="7"/>
  <c r="D71" i="7"/>
  <c r="H27" i="7"/>
  <c r="D91" i="7"/>
  <c r="D84" i="7"/>
  <c r="D85" i="7"/>
  <c r="D80" i="7"/>
  <c r="D68" i="7"/>
  <c r="D69" i="7"/>
  <c r="D64" i="7"/>
  <c r="D65" i="7"/>
  <c r="D60" i="7"/>
  <c r="I19" i="7"/>
  <c r="D61" i="7" s="1"/>
  <c r="D51" i="7"/>
  <c r="H15" i="7"/>
  <c r="D43" i="7"/>
  <c r="H13" i="7"/>
  <c r="D35" i="7"/>
  <c r="D87" i="7"/>
  <c r="D55" i="7"/>
  <c r="H16" i="7"/>
  <c r="D47" i="7"/>
  <c r="H14" i="7"/>
  <c r="D39" i="7"/>
  <c r="I2" i="1"/>
  <c r="J2" i="1" s="1"/>
  <c r="K2" i="1" s="1"/>
  <c r="G39" i="6"/>
  <c r="I39" i="6" s="1"/>
  <c r="G35" i="6"/>
  <c r="I35" i="6" s="1"/>
  <c r="G33" i="6"/>
  <c r="I33" i="6" s="1"/>
  <c r="G30" i="6"/>
  <c r="I30" i="6" s="1"/>
  <c r="G26" i="6"/>
  <c r="I26" i="6" s="1"/>
  <c r="G21" i="6"/>
  <c r="I21" i="6" s="1"/>
  <c r="G14" i="6"/>
  <c r="I14" i="6" s="1"/>
  <c r="G25" i="6"/>
  <c r="I25" i="6" s="1"/>
  <c r="G20" i="6"/>
  <c r="I20" i="6" s="1"/>
  <c r="G19" i="6"/>
  <c r="I19" i="6" s="1"/>
  <c r="G18" i="6"/>
  <c r="I18" i="6" s="1"/>
  <c r="G11" i="6"/>
  <c r="I11" i="6" s="1"/>
  <c r="G10" i="6"/>
  <c r="I10" i="6" s="1"/>
  <c r="G9" i="6"/>
  <c r="I9" i="6" s="1"/>
  <c r="G8" i="6"/>
  <c r="I8" i="6" s="1"/>
  <c r="H163" i="1" l="1"/>
  <c r="N163" i="1" s="1"/>
  <c r="L163" i="1"/>
  <c r="H148" i="1"/>
  <c r="N148" i="1" s="1"/>
  <c r="L148" i="1"/>
  <c r="L147" i="1"/>
  <c r="L149" i="1"/>
  <c r="H147" i="1"/>
  <c r="N147" i="1" s="1"/>
  <c r="L127" i="1"/>
  <c r="M127" i="1" s="1"/>
  <c r="H127" i="1"/>
  <c r="H64" i="1"/>
  <c r="N64" i="1" s="1"/>
  <c r="H149" i="1"/>
  <c r="N149" i="1" s="1"/>
  <c r="H9" i="1"/>
  <c r="H26" i="1"/>
  <c r="H117" i="1"/>
  <c r="N117" i="1" s="1"/>
  <c r="H7" i="1"/>
  <c r="H20" i="1"/>
  <c r="L64" i="1"/>
  <c r="M64" i="1" s="1"/>
  <c r="L7" i="1"/>
  <c r="M7" i="1" s="1"/>
  <c r="L9" i="1"/>
  <c r="M9" i="1" s="1"/>
  <c r="L20" i="1"/>
  <c r="M20" i="1" s="1"/>
  <c r="L26" i="1"/>
  <c r="M26" i="1" s="1"/>
  <c r="L117" i="1"/>
  <c r="M117" i="1" s="1"/>
  <c r="H112" i="1"/>
  <c r="L112" i="1"/>
  <c r="M112" i="1" s="1"/>
  <c r="H120" i="1"/>
  <c r="H8" i="1"/>
  <c r="H14" i="1"/>
  <c r="H25" i="1"/>
  <c r="H31" i="1"/>
  <c r="H42" i="1"/>
  <c r="H48" i="1"/>
  <c r="H76" i="1"/>
  <c r="H80" i="1"/>
  <c r="L120" i="1"/>
  <c r="H5" i="1"/>
  <c r="H17" i="1"/>
  <c r="H45" i="1"/>
  <c r="H49" i="1"/>
  <c r="H57" i="1"/>
  <c r="H73" i="1"/>
  <c r="N73" i="1" s="1"/>
  <c r="H81" i="1"/>
  <c r="H86" i="1"/>
  <c r="H3" i="1"/>
  <c r="H11" i="1"/>
  <c r="H41" i="1"/>
  <c r="H55" i="1"/>
  <c r="H79" i="1"/>
  <c r="L8" i="1"/>
  <c r="M8" i="1" s="1"/>
  <c r="L14" i="1"/>
  <c r="M14" i="1" s="1"/>
  <c r="L25" i="1"/>
  <c r="M25" i="1" s="1"/>
  <c r="L31" i="1"/>
  <c r="M31" i="1" s="1"/>
  <c r="L42" i="1"/>
  <c r="M42" i="1" s="1"/>
  <c r="L48" i="1"/>
  <c r="M48" i="1" s="1"/>
  <c r="L76" i="1"/>
  <c r="M76" i="1" s="1"/>
  <c r="L80" i="1"/>
  <c r="M80" i="1" s="1"/>
  <c r="L86" i="1"/>
  <c r="M86" i="1" s="1"/>
  <c r="L3" i="1"/>
  <c r="M3" i="1" s="1"/>
  <c r="L5" i="1"/>
  <c r="M5" i="1" s="1"/>
  <c r="L11" i="1"/>
  <c r="M11" i="1" s="1"/>
  <c r="L17" i="1"/>
  <c r="M17" i="1" s="1"/>
  <c r="L41" i="1"/>
  <c r="M41" i="1" s="1"/>
  <c r="L45" i="1"/>
  <c r="M45" i="1" s="1"/>
  <c r="L49" i="1"/>
  <c r="M49" i="1" s="1"/>
  <c r="L55" i="1"/>
  <c r="M55" i="1" s="1"/>
  <c r="L57" i="1"/>
  <c r="M57" i="1" s="1"/>
  <c r="L73" i="1"/>
  <c r="M73" i="1" s="1"/>
  <c r="L79" i="1"/>
  <c r="M79" i="1" s="1"/>
  <c r="L81" i="1"/>
  <c r="M81" i="1" s="1"/>
  <c r="H10" i="1"/>
  <c r="H22" i="1"/>
  <c r="L10" i="1"/>
  <c r="M10" i="1" s="1"/>
  <c r="L22" i="1"/>
  <c r="M22" i="1" s="1"/>
  <c r="H36" i="1"/>
  <c r="H124" i="1"/>
  <c r="N124" i="1" s="1"/>
  <c r="L36" i="1"/>
  <c r="M36" i="1" s="1"/>
  <c r="L124" i="1"/>
  <c r="M124" i="1" s="1"/>
  <c r="L152" i="1"/>
  <c r="H152" i="1"/>
  <c r="N152" i="1" s="1"/>
  <c r="L119" i="1"/>
  <c r="M119" i="1" s="1"/>
  <c r="L126" i="1"/>
  <c r="M126" i="1" s="1"/>
  <c r="H126" i="1"/>
  <c r="H119" i="1"/>
  <c r="H107" i="1"/>
  <c r="H32" i="1"/>
  <c r="L32" i="1"/>
  <c r="M32" i="1" s="1"/>
  <c r="L107" i="1"/>
  <c r="M107" i="1" s="1"/>
  <c r="H4" i="1"/>
  <c r="L4" i="1"/>
  <c r="M4" i="1" s="1"/>
  <c r="K50" i="1"/>
  <c r="N50" i="1" s="1"/>
  <c r="K42" i="1"/>
  <c r="K34" i="1"/>
  <c r="N34" i="1" s="1"/>
  <c r="N107" i="1"/>
  <c r="K43" i="1"/>
  <c r="N43" i="1" s="1"/>
  <c r="K35" i="1"/>
  <c r="K116" i="1"/>
  <c r="N116" i="1" s="1"/>
  <c r="K100" i="1"/>
  <c r="N100" i="1" s="1"/>
  <c r="N76" i="1"/>
  <c r="K52" i="1"/>
  <c r="N52" i="1" s="1"/>
  <c r="K44" i="1"/>
  <c r="N44" i="1" s="1"/>
  <c r="N36" i="1"/>
  <c r="K45" i="1"/>
  <c r="N45" i="1" s="1"/>
  <c r="K37" i="1"/>
  <c r="N37" i="1" s="1"/>
  <c r="N119" i="1"/>
  <c r="N2" i="1"/>
  <c r="L165" i="1"/>
  <c r="M165" i="1" s="1"/>
  <c r="H165" i="1"/>
  <c r="N165" i="1" s="1"/>
  <c r="L134" i="1"/>
  <c r="M134" i="1" s="1"/>
  <c r="H134" i="1"/>
  <c r="N134" i="1" s="1"/>
  <c r="L135" i="1"/>
  <c r="M135" i="1" s="1"/>
  <c r="H38" i="1"/>
  <c r="H40" i="1"/>
  <c r="H135" i="1"/>
  <c r="N135" i="1" s="1"/>
  <c r="L38" i="1"/>
  <c r="M38" i="1" s="1"/>
  <c r="L40" i="1"/>
  <c r="M40" i="1" s="1"/>
  <c r="L128" i="1"/>
  <c r="M128" i="1" s="1"/>
  <c r="H128" i="1"/>
  <c r="L125" i="1"/>
  <c r="M125" i="1" s="1"/>
  <c r="H125" i="1"/>
  <c r="N125" i="1" s="1"/>
  <c r="N110" i="1"/>
  <c r="K86" i="1"/>
  <c r="N86" i="1" s="1"/>
  <c r="N70" i="1"/>
  <c r="K46" i="1"/>
  <c r="N46" i="1" s="1"/>
  <c r="K38" i="1"/>
  <c r="K30" i="1"/>
  <c r="N30" i="1" s="1"/>
  <c r="N79" i="1"/>
  <c r="N71" i="1"/>
  <c r="K63" i="1"/>
  <c r="N63" i="1" s="1"/>
  <c r="N55" i="1"/>
  <c r="K47" i="1"/>
  <c r="N47" i="1" s="1"/>
  <c r="K39" i="1"/>
  <c r="N39" i="1" s="1"/>
  <c r="K31" i="1"/>
  <c r="N31" i="1" s="1"/>
  <c r="K112" i="1"/>
  <c r="N112" i="1" s="1"/>
  <c r="K104" i="1"/>
  <c r="N104" i="1" s="1"/>
  <c r="N96" i="1"/>
  <c r="N88" i="1"/>
  <c r="N80" i="1"/>
  <c r="N72" i="1"/>
  <c r="K48" i="1"/>
  <c r="N48" i="1" s="1"/>
  <c r="K40" i="1"/>
  <c r="N40" i="1" s="1"/>
  <c r="K32" i="1"/>
  <c r="N32" i="1" s="1"/>
  <c r="K97" i="1"/>
  <c r="N97" i="1" s="1"/>
  <c r="N81" i="1"/>
  <c r="K65" i="1"/>
  <c r="N65" i="1" s="1"/>
  <c r="N57" i="1"/>
  <c r="N49" i="1"/>
  <c r="K41" i="1"/>
  <c r="N41" i="1" s="1"/>
  <c r="K33" i="1"/>
  <c r="N33" i="1" s="1"/>
  <c r="N120" i="1"/>
  <c r="N126" i="1"/>
  <c r="N127" i="1"/>
  <c r="N128" i="1"/>
  <c r="N136" i="1"/>
  <c r="L133" i="1"/>
  <c r="M133" i="1" s="1"/>
  <c r="H35" i="1"/>
  <c r="H18" i="1"/>
  <c r="H133" i="1"/>
  <c r="N133" i="1" s="1"/>
  <c r="L18" i="1"/>
  <c r="M18" i="1" s="1"/>
  <c r="L35" i="1"/>
  <c r="M35" i="1" s="1"/>
  <c r="K122" i="1"/>
  <c r="J20" i="1"/>
  <c r="K20" i="1" s="1"/>
  <c r="N20" i="1" s="1"/>
  <c r="J11" i="1"/>
  <c r="K11" i="1" s="1"/>
  <c r="J15" i="1"/>
  <c r="K15" i="1" s="1"/>
  <c r="N15" i="1" s="1"/>
  <c r="J19" i="1"/>
  <c r="K19" i="1" s="1"/>
  <c r="N19" i="1" s="1"/>
  <c r="J10" i="1"/>
  <c r="K10" i="1" s="1"/>
  <c r="N10" i="1" s="1"/>
  <c r="J18" i="1"/>
  <c r="K18" i="1" s="1"/>
  <c r="N18" i="1" s="1"/>
  <c r="J22" i="1"/>
  <c r="K22" i="1" s="1"/>
  <c r="N22" i="1" s="1"/>
  <c r="J13" i="1"/>
  <c r="K13" i="1" s="1"/>
  <c r="N13" i="1" s="1"/>
  <c r="J24" i="1"/>
  <c r="K24" i="1" s="1"/>
  <c r="N24" i="1" s="1"/>
  <c r="K28" i="1"/>
  <c r="K3" i="1"/>
  <c r="N3" i="1" s="1"/>
  <c r="K14" i="1"/>
  <c r="N14" i="1" s="1"/>
  <c r="K9" i="1"/>
  <c r="N9" i="1" s="1"/>
  <c r="K17" i="1"/>
  <c r="K29" i="1"/>
  <c r="N29" i="1" s="1"/>
  <c r="K21" i="1"/>
  <c r="K23" i="1"/>
  <c r="N23" i="1" s="1"/>
  <c r="K12" i="1"/>
  <c r="K16" i="1"/>
  <c r="D77" i="7"/>
  <c r="D73" i="7"/>
  <c r="K25" i="1"/>
  <c r="K26" i="1"/>
  <c r="N26" i="1" s="1"/>
  <c r="K27" i="1"/>
  <c r="N27" i="1" s="1"/>
  <c r="I14" i="7"/>
  <c r="D41" i="7" s="1"/>
  <c r="D40" i="7"/>
  <c r="I16" i="7"/>
  <c r="D49" i="7" s="1"/>
  <c r="D48" i="7"/>
  <c r="D57" i="7"/>
  <c r="D56" i="7"/>
  <c r="D88" i="7"/>
  <c r="D89" i="7"/>
  <c r="I13" i="7"/>
  <c r="D37" i="7" s="1"/>
  <c r="D36" i="7"/>
  <c r="I15" i="7"/>
  <c r="D45" i="7" s="1"/>
  <c r="D44" i="7"/>
  <c r="D52" i="7"/>
  <c r="D92" i="7"/>
  <c r="I27" i="7"/>
  <c r="D93" i="7" s="1"/>
  <c r="L131" i="1" l="1"/>
  <c r="M131" i="1" s="1"/>
  <c r="H131" i="1"/>
  <c r="N131" i="1" s="1"/>
  <c r="L132" i="1"/>
  <c r="M132" i="1" s="1"/>
  <c r="H132" i="1"/>
  <c r="N132" i="1" s="1"/>
  <c r="L161" i="1"/>
  <c r="L157" i="1"/>
  <c r="L153" i="1"/>
  <c r="H140" i="1"/>
  <c r="N140" i="1" s="1"/>
  <c r="H157" i="1"/>
  <c r="N157" i="1" s="1"/>
  <c r="H144" i="1"/>
  <c r="N144" i="1" s="1"/>
  <c r="H153" i="1"/>
  <c r="N153" i="1" s="1"/>
  <c r="H94" i="1"/>
  <c r="N94" i="1" s="1"/>
  <c r="H102" i="1"/>
  <c r="N102" i="1" s="1"/>
  <c r="H87" i="1"/>
  <c r="N87" i="1" s="1"/>
  <c r="H93" i="1"/>
  <c r="N93" i="1" s="1"/>
  <c r="H68" i="1"/>
  <c r="N68" i="1" s="1"/>
  <c r="H161" i="1"/>
  <c r="N161" i="1" s="1"/>
  <c r="L144" i="1"/>
  <c r="L140" i="1"/>
  <c r="H138" i="1"/>
  <c r="N138" i="1" s="1"/>
  <c r="H95" i="1"/>
  <c r="N95" i="1" s="1"/>
  <c r="H111" i="1"/>
  <c r="N111" i="1" s="1"/>
  <c r="H115" i="1"/>
  <c r="N115" i="1" s="1"/>
  <c r="L138" i="1"/>
  <c r="H67" i="1"/>
  <c r="N67" i="1" s="1"/>
  <c r="L68" i="1"/>
  <c r="M68" i="1" s="1"/>
  <c r="L94" i="1"/>
  <c r="M94" i="1" s="1"/>
  <c r="L102" i="1"/>
  <c r="M102" i="1" s="1"/>
  <c r="L67" i="1"/>
  <c r="M67" i="1" s="1"/>
  <c r="L87" i="1"/>
  <c r="M87" i="1" s="1"/>
  <c r="L93" i="1"/>
  <c r="M93" i="1" s="1"/>
  <c r="L95" i="1"/>
  <c r="M95" i="1" s="1"/>
  <c r="L111" i="1"/>
  <c r="M111" i="1" s="1"/>
  <c r="L115" i="1"/>
  <c r="M115" i="1" s="1"/>
  <c r="L129" i="1"/>
  <c r="M129" i="1" s="1"/>
  <c r="H129" i="1"/>
  <c r="N129" i="1" s="1"/>
  <c r="H77" i="1"/>
  <c r="N77" i="1" s="1"/>
  <c r="H28" i="1"/>
  <c r="N28" i="1" s="1"/>
  <c r="L28" i="1"/>
  <c r="M28" i="1" s="1"/>
  <c r="L77" i="1"/>
  <c r="M77" i="1" s="1"/>
  <c r="H155" i="1"/>
  <c r="N155" i="1" s="1"/>
  <c r="H156" i="1"/>
  <c r="N156" i="1" s="1"/>
  <c r="H159" i="1"/>
  <c r="N159" i="1" s="1"/>
  <c r="L130" i="1"/>
  <c r="M130" i="1" s="1"/>
  <c r="H130" i="1"/>
  <c r="N130" i="1" s="1"/>
  <c r="L146" i="1"/>
  <c r="H146" i="1"/>
  <c r="N146" i="1" s="1"/>
  <c r="H114" i="1"/>
  <c r="N114" i="1" s="1"/>
  <c r="H123" i="1"/>
  <c r="N123" i="1" s="1"/>
  <c r="H12" i="1"/>
  <c r="H16" i="1"/>
  <c r="N16" i="1" s="1"/>
  <c r="H21" i="1"/>
  <c r="H103" i="1"/>
  <c r="N103" i="1" s="1"/>
  <c r="H122" i="1"/>
  <c r="H113" i="1"/>
  <c r="N113" i="1" s="1"/>
  <c r="L12" i="1"/>
  <c r="M12" i="1" s="1"/>
  <c r="L16" i="1"/>
  <c r="M16" i="1" s="1"/>
  <c r="L21" i="1"/>
  <c r="M21" i="1" s="1"/>
  <c r="L114" i="1"/>
  <c r="M114" i="1" s="1"/>
  <c r="L123" i="1"/>
  <c r="M123" i="1" s="1"/>
  <c r="L103" i="1"/>
  <c r="M103" i="1" s="1"/>
  <c r="L113" i="1"/>
  <c r="M113" i="1" s="1"/>
  <c r="L122" i="1"/>
  <c r="M122" i="1" s="1"/>
  <c r="N25" i="1"/>
  <c r="N12" i="1"/>
  <c r="N21" i="1"/>
  <c r="N17" i="1"/>
  <c r="N11" i="1"/>
  <c r="N122" i="1"/>
  <c r="N38" i="1"/>
  <c r="N35" i="1"/>
  <c r="N42" i="1"/>
  <c r="K7" i="1"/>
  <c r="N7" i="1" s="1"/>
  <c r="K5" i="1"/>
  <c r="N5" i="1" s="1"/>
  <c r="K4" i="1"/>
  <c r="N4" i="1" s="1"/>
  <c r="K8" i="1"/>
  <c r="N8" i="1" s="1"/>
  <c r="K6" i="1"/>
  <c r="N6" i="1" s="1"/>
</calcChain>
</file>

<file path=xl/comments1.xml><?xml version="1.0" encoding="utf-8"?>
<comments xmlns="http://schemas.openxmlformats.org/spreadsheetml/2006/main">
  <authors>
    <author>Automotriz Rancagua</author>
    <author>Nominas</author>
    <author>Equipo1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Automotriz Rancagua:</t>
        </r>
        <r>
          <rPr>
            <sz val="8"/>
            <color indexed="81"/>
            <rFont val="Tahoma"/>
            <family val="2"/>
          </rPr>
          <t xml:space="preserve">
Fecha de Aniversario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Automotriz Rancagua:</t>
        </r>
        <r>
          <rPr>
            <sz val="8"/>
            <color indexed="81"/>
            <rFont val="Tahoma"/>
            <family val="2"/>
          </rPr>
          <t xml:space="preserve">
Que sea igual al manejado en Nomipaq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Automotriz Rancagua:</t>
        </r>
        <r>
          <rPr>
            <sz val="8"/>
            <color indexed="81"/>
            <rFont val="Tahoma"/>
            <family val="2"/>
          </rPr>
          <t xml:space="preserve">
Que sea igual al manejado en Nomipaq</t>
        </r>
      </text>
    </comment>
    <comment ref="AU1" authorId="1">
      <text>
        <r>
          <rPr>
            <b/>
            <sz val="8"/>
            <color indexed="81"/>
            <rFont val="Tahoma"/>
            <family val="2"/>
          </rPr>
          <t>Nominas:</t>
        </r>
        <r>
          <rPr>
            <sz val="8"/>
            <color indexed="81"/>
            <rFont val="Tahoma"/>
            <family val="2"/>
          </rPr>
          <t xml:space="preserve">
CASADO
SOLTERO
DIVORCIADO
VIUDO
UNION LIBRE
</t>
        </r>
      </text>
    </comment>
    <comment ref="AY1" authorId="1">
      <text>
        <r>
          <rPr>
            <b/>
            <sz val="8"/>
            <color indexed="81"/>
            <rFont val="Tahoma"/>
            <family val="2"/>
          </rPr>
          <t>Nominas:</t>
        </r>
        <r>
          <rPr>
            <sz val="8"/>
            <color indexed="81"/>
            <rFont val="Tahoma"/>
            <family val="2"/>
          </rPr>
          <t xml:space="preserve">
Fechas para elaborar contrato y deberá ser el más reciente.</t>
        </r>
      </text>
    </comment>
    <comment ref="B44" authorId="2">
      <text>
        <r>
          <rPr>
            <b/>
            <sz val="8"/>
            <color indexed="81"/>
            <rFont val="Tahoma"/>
            <family val="2"/>
          </rPr>
          <t>Baja el dia 9 de Noviembre de 2015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6" authorId="2">
      <text>
        <r>
          <rPr>
            <b/>
            <sz val="8"/>
            <color indexed="81"/>
            <rFont val="Tahoma"/>
            <family val="2"/>
          </rPr>
          <t>ESTA CON EL NOMBRE DE GONZALEZ ANDRADE ROSARIO Y NO TIENE IMSS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Automotriz Rancagua</author>
    <author>Nominas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Automotriz Rancagua:</t>
        </r>
        <r>
          <rPr>
            <sz val="8"/>
            <color indexed="81"/>
            <rFont val="Tahoma"/>
            <family val="2"/>
          </rPr>
          <t xml:space="preserve">
Que sea igual al manejado en Nomipaq</t>
        </r>
      </text>
    </comment>
    <comment ref="S1" authorId="1">
      <text>
        <r>
          <rPr>
            <b/>
            <sz val="8"/>
            <color indexed="81"/>
            <rFont val="Tahoma"/>
            <family val="2"/>
          </rPr>
          <t>Nominas:</t>
        </r>
        <r>
          <rPr>
            <sz val="8"/>
            <color indexed="81"/>
            <rFont val="Tahoma"/>
            <family val="2"/>
          </rPr>
          <t xml:space="preserve">
CASADO
SOLTERO
DIVORCIADO
VIUDO
UNION LIBRE
</t>
        </r>
      </text>
    </comment>
  </commentList>
</comments>
</file>

<file path=xl/sharedStrings.xml><?xml version="1.0" encoding="utf-8"?>
<sst xmlns="http://schemas.openxmlformats.org/spreadsheetml/2006/main" count="3936" uniqueCount="1364">
  <si>
    <t>NOMBRE</t>
  </si>
  <si>
    <t>PUESTO</t>
  </si>
  <si>
    <t>DEPARTAMENTO</t>
  </si>
  <si>
    <t>TABULADOR</t>
  </si>
  <si>
    <t>DOMICILIO</t>
  </si>
  <si>
    <t>COLONIA</t>
  </si>
  <si>
    <t>CIUDAD</t>
  </si>
  <si>
    <t>ESTADO</t>
  </si>
  <si>
    <t>CODIGO POSTAL</t>
  </si>
  <si>
    <t>TELEFONO FIJO</t>
  </si>
  <si>
    <t>TELEFONO CELUAR</t>
  </si>
  <si>
    <t>FECHA DE NACIMIENTO</t>
  </si>
  <si>
    <t>LUGAR DE NACIMIENTO</t>
  </si>
  <si>
    <t>NO IMSS</t>
  </si>
  <si>
    <t>RFC</t>
  </si>
  <si>
    <t>CURP</t>
  </si>
  <si>
    <t>CREDITO INFONAVIT</t>
  </si>
  <si>
    <t>ESTADO CIVIL</t>
  </si>
  <si>
    <t>NOMBRE CONYUGE</t>
  </si>
  <si>
    <t>NOMBRE PADRE</t>
  </si>
  <si>
    <t>NOMBRE MADRE</t>
  </si>
  <si>
    <t>TIPO DE SALARIO (FIJO, MIXTO, VARIABLE)</t>
  </si>
  <si>
    <t>FECHA DE INICIO DE LABORES</t>
  </si>
  <si>
    <t>TIPO DE SANGRE</t>
  </si>
  <si>
    <t>OBSERVACIONES</t>
  </si>
  <si>
    <t>SALARIO DIARIO</t>
  </si>
  <si>
    <t>SDI</t>
  </si>
  <si>
    <t>F</t>
  </si>
  <si>
    <t>HORARIO DE TRABAJO</t>
  </si>
  <si>
    <t>UNIDAD DE MEDICINA FAMILIAR</t>
  </si>
  <si>
    <t>ANTIGÜEDAD</t>
  </si>
  <si>
    <t>FACTOR INTEGRACION</t>
  </si>
  <si>
    <t>SMG "C"</t>
  </si>
  <si>
    <t>TABULADORES</t>
  </si>
  <si>
    <t>AUMENTO ANUAL</t>
  </si>
  <si>
    <t>NIVEL</t>
  </si>
  <si>
    <t>BASE INICIAL</t>
  </si>
  <si>
    <t>% INCR EN EL MISMO TABULADOR</t>
  </si>
  <si>
    <t>SUELDO</t>
  </si>
  <si>
    <t>Prima Vacacional</t>
  </si>
  <si>
    <t>Factor Integración</t>
  </si>
  <si>
    <t>DETERMINACIÓN DEL FACTOR DE INTEGRACION DEL S.D.</t>
  </si>
  <si>
    <t>Años de Antigüedad</t>
  </si>
  <si>
    <t>Dias Vacaciones que corresponden</t>
  </si>
  <si>
    <t>Días de Gratificación (Sep y Dic)</t>
  </si>
  <si>
    <t>EDAD</t>
  </si>
  <si>
    <t>SUELDO CON LETRA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</si>
  <si>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</si>
  <si>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</si>
  <si>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</si>
  <si>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</si>
  <si>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</si>
  <si>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</si>
  <si>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</si>
  <si>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</si>
  <si>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</si>
  <si>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</si>
  <si>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</si>
  <si>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</si>
  <si>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GERENCIA A LA QUE PERTENECE</t>
  </si>
  <si>
    <t xml:space="preserve">TIPO DE SALARIO </t>
  </si>
  <si>
    <t>DURACION DE CONTRATO</t>
  </si>
  <si>
    <t>DIA INICIO</t>
  </si>
  <si>
    <t>MES INICIO</t>
  </si>
  <si>
    <t xml:space="preserve">MES INICIO LETRA </t>
  </si>
  <si>
    <t>AÑO INICIO</t>
  </si>
  <si>
    <t>DIA FIN</t>
  </si>
  <si>
    <t>MES FIN</t>
  </si>
  <si>
    <t>MES FIN LETRA</t>
  </si>
  <si>
    <t>AÑO FIN</t>
  </si>
  <si>
    <t>FILTRO MES</t>
  </si>
  <si>
    <t>PENDIENTE POR HACER CONTRATO</t>
  </si>
  <si>
    <t xml:space="preserve"> </t>
  </si>
  <si>
    <t>Límite inferior</t>
  </si>
  <si>
    <t>Límite superior</t>
  </si>
  <si>
    <t>$</t>
  </si>
  <si>
    <t xml:space="preserve">En adelante </t>
  </si>
  <si>
    <t>Cuota fija</t>
  </si>
  <si>
    <t xml:space="preserve">Por ciento para aplicarse sobre </t>
  </si>
  <si>
    <t>el excedente del límite inferior</t>
  </si>
  <si>
    <t>%</t>
  </si>
  <si>
    <t>REGISTRO PATRONAL</t>
  </si>
  <si>
    <t>CODIGO NOMIPAQ</t>
  </si>
  <si>
    <t>FECHA INICIO CONTRATO ACTUAL</t>
  </si>
  <si>
    <t>FECHA TERMINO CONTRATO ACTUAL</t>
  </si>
  <si>
    <t>DIA INICIO PARA CONSTANCIAS</t>
  </si>
  <si>
    <t>MES INICIO PARA CONSTANCIAS</t>
  </si>
  <si>
    <t>NUMERO MES INICIO PARA CONSTANCIAS</t>
  </si>
  <si>
    <t>AÑO INICIO PARA CONSTANCIAS</t>
  </si>
  <si>
    <t>GERENTE A CARGO</t>
  </si>
  <si>
    <t>RENUNCIO</t>
  </si>
  <si>
    <t xml:space="preserve">GONZALEZ ANDRADE IRMA </t>
  </si>
  <si>
    <t xml:space="preserve">DAVALOS MARTINEZ FRANCISCO </t>
  </si>
  <si>
    <t xml:space="preserve">REYES SOSA GERARDO </t>
  </si>
  <si>
    <t xml:space="preserve">GONZALEZ ORTIZ JORGE LUIS </t>
  </si>
  <si>
    <t xml:space="preserve">GONZALEZ ANDRADE ANTONIA </t>
  </si>
  <si>
    <t xml:space="preserve">LLAMAS ESQUIVEL ALFREDO </t>
  </si>
  <si>
    <t xml:space="preserve">REBOLLEDO MANZO FRANCISCO J. </t>
  </si>
  <si>
    <t xml:space="preserve">PUENTE RAMIREZ FRANCISCO JAVIER </t>
  </si>
  <si>
    <t>VIZCARRA RODRIGUEZ NORMA L.</t>
  </si>
  <si>
    <t xml:space="preserve">CAMPOS LOMELI GABRIEL </t>
  </si>
  <si>
    <t xml:space="preserve">RUIZ CEDEÑO JOSE LUIS </t>
  </si>
  <si>
    <t xml:space="preserve">GAYTAN MENDEZ JUAN MANUEL </t>
  </si>
  <si>
    <t xml:space="preserve">MORONES GUTIERREZ ALBERTO </t>
  </si>
  <si>
    <t xml:space="preserve">PADILLA BLANCO ANA ROSA </t>
  </si>
  <si>
    <t xml:space="preserve">CORONADO CHAVEZ RAFAEL </t>
  </si>
  <si>
    <t xml:space="preserve">AGUILAR BARAJAS JOEL </t>
  </si>
  <si>
    <t xml:space="preserve">GARCIA VERDUZCO ADALBERTO </t>
  </si>
  <si>
    <t>OROZCO FLORES SARAHI AZERET</t>
  </si>
  <si>
    <t xml:space="preserve">IGNACIO HUAPEO ALEJANDRO </t>
  </si>
  <si>
    <t xml:space="preserve">RAMIREZ BAZAN PABLO </t>
  </si>
  <si>
    <t xml:space="preserve">MENDOZA AVIÑA VICTOR HUGO </t>
  </si>
  <si>
    <t xml:space="preserve">ANGEL PUENTE JOSE MANUEL </t>
  </si>
  <si>
    <t xml:space="preserve">OJEDA GUINTO OMAR ALEXANDER </t>
  </si>
  <si>
    <t xml:space="preserve">ROLON ANDRADE KAREN ESTAFANY </t>
  </si>
  <si>
    <t xml:space="preserve">CHACON MORENO ALBERTO </t>
  </si>
  <si>
    <t xml:space="preserve">CARRILLO MENDEZ DANIEL </t>
  </si>
  <si>
    <t xml:space="preserve">VALADEZ CAMARENA JUAN M. </t>
  </si>
  <si>
    <t xml:space="preserve">VILLA VEGA OMAR ALEJANDRO </t>
  </si>
  <si>
    <t xml:space="preserve">JARAMILLO GOMEZ JOSE ARMANDO </t>
  </si>
  <si>
    <t xml:space="preserve">RAMOS REYES LAURA LILIANA </t>
  </si>
  <si>
    <t xml:space="preserve">CASTRO TORRES PEDRO DAMIAN </t>
  </si>
  <si>
    <t xml:space="preserve">SOLANO GARCIA ANA CECILIA </t>
  </si>
  <si>
    <t xml:space="preserve">ANGEL MALDONADO MAYRA </t>
  </si>
  <si>
    <t xml:space="preserve">RAMOS LARIOS MA. CARMEN </t>
  </si>
  <si>
    <t>ALVAREZ OLIVEROS NOEL</t>
  </si>
  <si>
    <t xml:space="preserve">RAMIREZ BECERRA PABLO </t>
  </si>
  <si>
    <t xml:space="preserve">MARTINEZ JAIME VICTOR MANUEL </t>
  </si>
  <si>
    <t xml:space="preserve">ESPIRITU CENDEJAS CARLOS RAMON </t>
  </si>
  <si>
    <t xml:space="preserve">VELAZQUEZ NAVARRO JOSE </t>
  </si>
  <si>
    <t>FLORES VILLALVAZO MARIANA E.</t>
  </si>
  <si>
    <t xml:space="preserve">RIVERA GONZALEZ DIEGO ISRAEL </t>
  </si>
  <si>
    <t xml:space="preserve">CASILLAS PEREZ EDUARDO </t>
  </si>
  <si>
    <t xml:space="preserve">SANTANA PEÑA MELQUIADES </t>
  </si>
  <si>
    <t xml:space="preserve">PUENTE RAMIREZ MARISELA </t>
  </si>
  <si>
    <t xml:space="preserve">LEYVA MEZA MA. DE LA CRUZ </t>
  </si>
  <si>
    <t xml:space="preserve">RAMOS RINCON OCTAVIO </t>
  </si>
  <si>
    <t xml:space="preserve">CONTRERAS SILVA IVAN ALEJANDRO </t>
  </si>
  <si>
    <t xml:space="preserve">GUZMAN RUIZ  SALVADOR CRUZ </t>
  </si>
  <si>
    <t xml:space="preserve">SIRONDARO FERNANDEZ EDUARDO </t>
  </si>
  <si>
    <t xml:space="preserve">MORENO VALADEZ OSWALDO </t>
  </si>
  <si>
    <t xml:space="preserve">MARTINEZ SANTANA RAQUEL </t>
  </si>
  <si>
    <t xml:space="preserve">IGLESIA ANDRADE ZENAIDA </t>
  </si>
  <si>
    <t xml:space="preserve">LOPEZ CANALES GUILLERMO </t>
  </si>
  <si>
    <t>LEON RODRIGUEZ FCO. JAVIER</t>
  </si>
  <si>
    <t xml:space="preserve">CASTAÑEDA NAVARRO CRISTOBAL </t>
  </si>
  <si>
    <t xml:space="preserve">SANCHEZ MELCHOR JOSE ANTONIO </t>
  </si>
  <si>
    <t xml:space="preserve">RODRIGUEZ LINARES LEONARDO </t>
  </si>
  <si>
    <t xml:space="preserve">CAMPOS LOMELI CARLOS ALBERTO </t>
  </si>
  <si>
    <t xml:space="preserve">LAM SANDOVAL LEONARDO AMED </t>
  </si>
  <si>
    <t xml:space="preserve">ROMERO CELESTINO MAURICIO </t>
  </si>
  <si>
    <t xml:space="preserve">LARIOS LARIOS EDGAR JAVIER </t>
  </si>
  <si>
    <t xml:space="preserve">REYES LORETO ALBARO </t>
  </si>
  <si>
    <t xml:space="preserve">TEJEDA VALDOVINOS EDGAR E. </t>
  </si>
  <si>
    <t xml:space="preserve">MORALES FARIAS OSCAR RAFAEL </t>
  </si>
  <si>
    <t>VELAZCO MORALES ALFONSO</t>
  </si>
  <si>
    <t xml:space="preserve">RODRIGUEZ RAMIREZ OSCAR </t>
  </si>
  <si>
    <t>BRIZUELA ESPIRITU SERGIO</t>
  </si>
  <si>
    <t xml:space="preserve">NUÑEZ AVILA EDWIN FERNANDO </t>
  </si>
  <si>
    <t xml:space="preserve">TRISTAN ZUÑIGA DIEGO ARMANDO </t>
  </si>
  <si>
    <t xml:space="preserve">AQUINO ALVARADO CARLOS </t>
  </si>
  <si>
    <t>MELCHOR SANCHEZ MARIO</t>
  </si>
  <si>
    <t xml:space="preserve">RODRIGUEZ ROLON GUILLERMO </t>
  </si>
  <si>
    <t xml:space="preserve">MARIAS MACIAS JUAN MANUEL </t>
  </si>
  <si>
    <t xml:space="preserve">REBOLLEDO MANZO OSCAR DANIEL </t>
  </si>
  <si>
    <t xml:space="preserve">CALIXTO ANICETO MOISES </t>
  </si>
  <si>
    <t xml:space="preserve">VIRGEN ARIAS SABAS ALEJANDRO </t>
  </si>
  <si>
    <t xml:space="preserve">CERVANTES ARCEO JOSE LUIS </t>
  </si>
  <si>
    <t xml:space="preserve">LAGUNAS LOPEZ EDGAR DANIEL </t>
  </si>
  <si>
    <t xml:space="preserve">BLAS LUGO TOMAS OSWALDO </t>
  </si>
  <si>
    <t>SERRATOS PARRA FRANCISCO JAVIER</t>
  </si>
  <si>
    <t xml:space="preserve">ROMERO CELESTINO ROLANDO JONATHAN </t>
  </si>
  <si>
    <t xml:space="preserve">REYNA DOMINGUEZ EMANUEL </t>
  </si>
  <si>
    <t>CABALLERO LANDIN BLANCA JAZMIN</t>
  </si>
  <si>
    <t>GOMEZ LLERENAS ALEJANDRO</t>
  </si>
  <si>
    <t>JIMENEZ RODRIGUEZ CESAR</t>
  </si>
  <si>
    <t xml:space="preserve">MAGNO CHAVEZ CESAR ALBERTO </t>
  </si>
  <si>
    <t>PEREZ CABALLERO OMAR ALEJANDRO</t>
  </si>
  <si>
    <t xml:space="preserve">CHAVEZ OSEGUERA FRANCISCO JAVIER </t>
  </si>
  <si>
    <t>ORTEGA NAVARRETE JOSE TRINIDAD</t>
  </si>
  <si>
    <t xml:space="preserve">VALENCIA QUIROZ JOSE ARMANDO </t>
  </si>
  <si>
    <t>DIAZ CORIA CARLOS ALBERTO</t>
  </si>
  <si>
    <t>GARCIA MANZO JUAN ANTONIO</t>
  </si>
  <si>
    <t>JIMENEZ SANCHEZ LUIS ANGEL</t>
  </si>
  <si>
    <t xml:space="preserve">LOPEZ VALADEZ ALEXIS G. </t>
  </si>
  <si>
    <t xml:space="preserve">MARISCAL ARCINIEGA LUIS ANTONIO </t>
  </si>
  <si>
    <t xml:space="preserve">REYES BEJARANO HECTOR ARIEL </t>
  </si>
  <si>
    <t xml:space="preserve">AGUNDIZ SANCHEZ SANTIAGO </t>
  </si>
  <si>
    <t xml:space="preserve">DELGADO RODRIGUEZ JUAN CARLOS </t>
  </si>
  <si>
    <t>MENDOZA ROJAS FELIPE DE JESUS</t>
  </si>
  <si>
    <t xml:space="preserve">MARQUEZ CRUZ JAVIER </t>
  </si>
  <si>
    <t xml:space="preserve">PORRAS VELAZQUEZ RICARDO A. </t>
  </si>
  <si>
    <t xml:space="preserve">ESPIRITU PADILLA PEDRO ALBERTO </t>
  </si>
  <si>
    <t xml:space="preserve">ARCILA ERICK </t>
  </si>
  <si>
    <t xml:space="preserve">DOMINGUEZ LOMELI ROBERTO </t>
  </si>
  <si>
    <t xml:space="preserve">JACUINDE ROSILES JOSE LUIS </t>
  </si>
  <si>
    <t>ANGEL MALDONADO PATRICIA</t>
  </si>
  <si>
    <t>SOLANO MALDONADO AMERICA ALEJANDRA</t>
  </si>
  <si>
    <t xml:space="preserve">MACHAIN OCHOA CARLOS MISAEL </t>
  </si>
  <si>
    <t>ATILANO PONCE LAURA DAYANIRA</t>
  </si>
  <si>
    <t xml:space="preserve">CAMACHO CABRERA LUIS GUSTAVO </t>
  </si>
  <si>
    <t>GARCIA LOPEZ VICTOR MANUEL</t>
  </si>
  <si>
    <t>MENDEZ ACEVEDO GONZALO</t>
  </si>
  <si>
    <t xml:space="preserve">GOMEZ GUDIÑO LUIS ANDRES </t>
  </si>
  <si>
    <t xml:space="preserve">GOMEZ GUDIÑO MARCO VINICIO </t>
  </si>
  <si>
    <t xml:space="preserve">GOMEZ GUDIÑO RAUL JORGE </t>
  </si>
  <si>
    <t>SUELDO SEMANAL</t>
  </si>
  <si>
    <t>FIJO</t>
  </si>
  <si>
    <t>(CERO)</t>
  </si>
  <si>
    <t>INDIRECTOS</t>
  </si>
  <si>
    <t>EMBARQUES</t>
  </si>
  <si>
    <t>ALMACEN 2</t>
  </si>
  <si>
    <t>VENTAS</t>
  </si>
  <si>
    <t>TELEMARKETING</t>
  </si>
  <si>
    <t>ALMACEN 1</t>
  </si>
  <si>
    <t>CREDITO Y COBRANZA</t>
  </si>
  <si>
    <t>COMPRAS</t>
  </si>
  <si>
    <t>SEGURIDAD</t>
  </si>
  <si>
    <t>CONTABILIDAD</t>
  </si>
  <si>
    <t>SISTEMAS</t>
  </si>
  <si>
    <t>OTROS</t>
  </si>
  <si>
    <t>MANTENIMIENTO</t>
  </si>
  <si>
    <t>INTENDENCIA</t>
  </si>
  <si>
    <t>SURTIDO</t>
  </si>
  <si>
    <t>CHOFER DE CAMIONES Y GRUAS</t>
  </si>
  <si>
    <t>AUXILIAR DE ALMACEN</t>
  </si>
  <si>
    <t>CHOFER NISSAN</t>
  </si>
  <si>
    <t>MOSTRADOR</t>
  </si>
  <si>
    <t>SURTIDOR</t>
  </si>
  <si>
    <t>COBRADOR</t>
  </si>
  <si>
    <t>JEFE DE COMPRAS</t>
  </si>
  <si>
    <t>ENTREGA DE MATERIAL</t>
  </si>
  <si>
    <t>ENCARGADO DE ALMACEN</t>
  </si>
  <si>
    <t>CONTADOR GENERAL</t>
  </si>
  <si>
    <t>ENCARGADO DE INVENTARIOS</t>
  </si>
  <si>
    <t>AUXILIAR DE CREDITOS</t>
  </si>
  <si>
    <t>AUXILIAR DE COMPRAS</t>
  </si>
  <si>
    <t>CHOFER MOTO</t>
  </si>
  <si>
    <t>MANTENIMIENTO Y CONSERVACION</t>
  </si>
  <si>
    <t>AUXILIAR DE CONTABILIDAD</t>
  </si>
  <si>
    <t>CHALAN</t>
  </si>
  <si>
    <t>AUXILIAR DE COBRANZA</t>
  </si>
  <si>
    <t>DEVOLUCIONES</t>
  </si>
  <si>
    <t>CHOFER</t>
  </si>
  <si>
    <t>VIGILANCIA</t>
  </si>
  <si>
    <t>AUX DE SISTEMAS</t>
  </si>
  <si>
    <t>PUBLICIDAD</t>
  </si>
  <si>
    <t>7:45 AM A 2:00 PM Y 4:00 A 7:00 PM</t>
  </si>
  <si>
    <t>8:00 AM A 2:00 PM</t>
  </si>
  <si>
    <t>CONTRATO</t>
  </si>
  <si>
    <t>SI</t>
  </si>
  <si>
    <t>BALT830501TS8</t>
  </si>
  <si>
    <t>BALT930501HCMLGM00</t>
  </si>
  <si>
    <t>COLIMA</t>
  </si>
  <si>
    <t>GLADIS BLAS LUGO</t>
  </si>
  <si>
    <t>ALDAMA No. 601</t>
  </si>
  <si>
    <t>LA PALMITA</t>
  </si>
  <si>
    <t>TECOMAN</t>
  </si>
  <si>
    <t>CASADO</t>
  </si>
  <si>
    <t>MARIA MONSERRAT GALINDO AVALOS</t>
  </si>
  <si>
    <t>No. Licencia</t>
  </si>
  <si>
    <t>A4915505101</t>
  </si>
  <si>
    <t>CEAL870307HCMRRS01</t>
  </si>
  <si>
    <t>CEAL870307</t>
  </si>
  <si>
    <t>ABASOLO No. 880</t>
  </si>
  <si>
    <t>UNION</t>
  </si>
  <si>
    <t>SOLTERO</t>
  </si>
  <si>
    <t>01-502947</t>
  </si>
  <si>
    <t>02-005557</t>
  </si>
  <si>
    <t>GAVA860408HCMRRD01</t>
  </si>
  <si>
    <t>GAVA860408672</t>
  </si>
  <si>
    <t>ADALBERTO GARCIA FLORES</t>
  </si>
  <si>
    <t>ROSA MARIA VERDUZCO LOPEZ</t>
  </si>
  <si>
    <t>DIAZ ORDAZ</t>
  </si>
  <si>
    <t>MARIA ROSALINA BERNABE RAMOS</t>
  </si>
  <si>
    <t>ALEANDRO GOMEZ LLERENAS</t>
  </si>
  <si>
    <t>ALEJANDRA LLERENAS GONZALEZ</t>
  </si>
  <si>
    <t>JUAN MESINA No. 268</t>
  </si>
  <si>
    <t>REAL DEL BOSQUE</t>
  </si>
  <si>
    <t>JAGA871111AC0</t>
  </si>
  <si>
    <t>JAGA871111HCMRMR03</t>
  </si>
  <si>
    <t>JOSE ARMANDO JARAMILLO PRECIADO</t>
  </si>
  <si>
    <t>MA DE LA LUZ GOMEZ MENDOZA</t>
  </si>
  <si>
    <t>ORQUIDEAS No. 485</t>
  </si>
  <si>
    <t>GRISELDA ALVAREZ</t>
  </si>
  <si>
    <t xml:space="preserve">TECOMAN </t>
  </si>
  <si>
    <t>GONZALO JIMENEZ GARCIA</t>
  </si>
  <si>
    <t>MARIA LUISA RODRIGUEZ MEDINA</t>
  </si>
  <si>
    <t>LAGO DE CASTORES No. 13</t>
  </si>
  <si>
    <t>VILLAS DEL CENTENARIO</t>
  </si>
  <si>
    <t>LALE910201</t>
  </si>
  <si>
    <t>LALE910201HMNGPD05</t>
  </si>
  <si>
    <t>MICHOACAN</t>
  </si>
  <si>
    <t>TEOBALDO LAGUNAS HERNANDEZ</t>
  </si>
  <si>
    <t>ADELA LOPEZ LOPEZ</t>
  </si>
  <si>
    <t>EMILIO PORTE GIL No. 56</t>
  </si>
  <si>
    <t>VICENTE GUERRERO</t>
  </si>
  <si>
    <t>CLAUDIA JAZMIN ROMERO C.</t>
  </si>
  <si>
    <t>NO</t>
  </si>
  <si>
    <t>LALE9504097W2</t>
  </si>
  <si>
    <t>LALE950409HJCRRD08</t>
  </si>
  <si>
    <t>JALISCO</t>
  </si>
  <si>
    <t>ANTONIO LARIOS OCHOA</t>
  </si>
  <si>
    <t>MARIA DEL ROSARIO LARIOS GALLEGOS</t>
  </si>
  <si>
    <t>JOSE CRUZ GONZALEZ No. 154</t>
  </si>
  <si>
    <t>EL CHAMIZAL</t>
  </si>
  <si>
    <t>AUXILAIR DE ALMACEN</t>
  </si>
  <si>
    <t>MACC881001RPS</t>
  </si>
  <si>
    <t>MACC881001HCMGHS06</t>
  </si>
  <si>
    <t>CESAR DE JESUS MAGNO GUZMAN</t>
  </si>
  <si>
    <t>MA DE LOURDES CHAVEZ MUÑIZ</t>
  </si>
  <si>
    <t>PALMA REAL</t>
  </si>
  <si>
    <t>03-080848</t>
  </si>
  <si>
    <t>OEGO8410166K2</t>
  </si>
  <si>
    <t>OEGO841016HCMJNM06</t>
  </si>
  <si>
    <t>TOMAS OJEDA CHAVEZ</t>
  </si>
  <si>
    <t>MARIA ISABEL GUINTO</t>
  </si>
  <si>
    <t>PALMA DE ORO No. 694</t>
  </si>
  <si>
    <t>ERNESTINA VARGAS DELGADILLO</t>
  </si>
  <si>
    <t>PECO930827</t>
  </si>
  <si>
    <t>PECO930827HCMRBM09</t>
  </si>
  <si>
    <t>ZAFIRO No 441</t>
  </si>
  <si>
    <t xml:space="preserve">PEREZ MATIAS SERGIO JOSUE </t>
  </si>
  <si>
    <t>SERGIO MIGUEL PEREZ MEZA</t>
  </si>
  <si>
    <t>SANDRA LILIANA MATIAS CAMPOS</t>
  </si>
  <si>
    <t>ALEJANDRINA No. 405</t>
  </si>
  <si>
    <t>FLORESTA 2</t>
  </si>
  <si>
    <t>ROCR960608</t>
  </si>
  <si>
    <t>ROCR960608HCMMLL08</t>
  </si>
  <si>
    <t>MARCELINO ROMERO RIOS</t>
  </si>
  <si>
    <t>MARIA DEL CARMEN CELESTINO CARRILLO</t>
  </si>
  <si>
    <t>EMILIO PORTES GIL No. 56</t>
  </si>
  <si>
    <t>SAMA930613GJ6</t>
  </si>
  <si>
    <t>SAMA930613HCMNLN08</t>
  </si>
  <si>
    <t>JOSE LUIS SANCHEZ ZAPIEN</t>
  </si>
  <si>
    <t>MA DE JESUS MELCHOR CACIANO</t>
  </si>
  <si>
    <t>BENITO JUAREZ No. 14</t>
  </si>
  <si>
    <t>CENTRO</t>
  </si>
  <si>
    <t>SULEYKA ARELI SOLIS GALVAN</t>
  </si>
  <si>
    <t>VIVO930504D57</t>
  </si>
  <si>
    <t>VIVO930504HCMLGM08</t>
  </si>
  <si>
    <t>MANUEL GUTIERREZ CASTAÑEDA</t>
  </si>
  <si>
    <t>MARIA VEGA GRAJEDA</t>
  </si>
  <si>
    <t>VIRN741031MR6</t>
  </si>
  <si>
    <t>VIRN741031MCMZDR06</t>
  </si>
  <si>
    <t>FELIMON VIZCARRA VERA</t>
  </si>
  <si>
    <t>ADELAIDA RODRIGUEZ V.</t>
  </si>
  <si>
    <t>JUAN ALVAREZ No. 799</t>
  </si>
  <si>
    <t>LAS PALMAS</t>
  </si>
  <si>
    <t>VIUDA</t>
  </si>
  <si>
    <t>CAOF940426</t>
  </si>
  <si>
    <t>CAOF940426HCMHSR06</t>
  </si>
  <si>
    <t>FRANCISCO JAVIER CHAVEZ</t>
  </si>
  <si>
    <t>SOCORRO OSEGUERA ALVAREZ</t>
  </si>
  <si>
    <t>GUILLERMO PRIETO No. 20</t>
  </si>
  <si>
    <t>LADISLAO MORENO</t>
  </si>
  <si>
    <t>UNION LIBRE</t>
  </si>
  <si>
    <t>MIRIAM GONZALEZ V</t>
  </si>
  <si>
    <t>LERF770129RL9</t>
  </si>
  <si>
    <t>LERF770129HJCNDR08</t>
  </si>
  <si>
    <t>GREGORIO LEON MOCTEZUMA</t>
  </si>
  <si>
    <t>MA ESPERANZA RODRIGUEZ</t>
  </si>
  <si>
    <t>LAGUNA LA MARIA No. 105</t>
  </si>
  <si>
    <t>PRIMAVERAS DEL REAL</t>
  </si>
  <si>
    <t>MOVO960428JY8</t>
  </si>
  <si>
    <t>MOVO960428HCMRLS09</t>
  </si>
  <si>
    <t>JOSE FLORENIO MORENO</t>
  </si>
  <si>
    <t>LORENA VALADEZ VALLE</t>
  </si>
  <si>
    <t xml:space="preserve">ABASOLO 1301 </t>
  </si>
  <si>
    <t>JOSE TRINIDAD ORTEGA JIMENEZ</t>
  </si>
  <si>
    <t>PETRA NAVARRETE ESPIRITU</t>
  </si>
  <si>
    <t>PLAYA DE SANTIAGO No. 360</t>
  </si>
  <si>
    <t>RABP5806075R2</t>
  </si>
  <si>
    <t>RABP580607HCMMZB08</t>
  </si>
  <si>
    <t>JESUS RAMIREZ VILLEGAS</t>
  </si>
  <si>
    <t>AURORA BAZAN RIVAS</t>
  </si>
  <si>
    <t xml:space="preserve">MARIA ELENA BECERRA </t>
  </si>
  <si>
    <t>RESG760927</t>
  </si>
  <si>
    <t>RESG760927HGRYSR05</t>
  </si>
  <si>
    <t>DARRO REYES TORRES</t>
  </si>
  <si>
    <t>PETRA SOSA PEREZ</t>
  </si>
  <si>
    <t>CHAMIZAL</t>
  </si>
  <si>
    <t>MA DE JESUS BEJARANO AGUILAR</t>
  </si>
  <si>
    <t>VENC850822L60</t>
  </si>
  <si>
    <t>VENC850822HCMLVR06</t>
  </si>
  <si>
    <t>JOSE CRUZ VELAZQUEZ</t>
  </si>
  <si>
    <t>SILVIA NAVARRO BALTAZAR</t>
  </si>
  <si>
    <t>MIGUEL DE LA MADRID No. 425</t>
  </si>
  <si>
    <t>MIGUEL HIDALGO</t>
  </si>
  <si>
    <t>ANA ROSA PADILLA BLANCO</t>
  </si>
  <si>
    <t>AUXILIAR DE MECANICO</t>
  </si>
  <si>
    <t>MAJV630811HJCRMC05</t>
  </si>
  <si>
    <t>MAJV630811</t>
  </si>
  <si>
    <t>ELVIRA JAIME ZUÑIGA</t>
  </si>
  <si>
    <t>20 DE NOVIEMBRE No. 232</t>
  </si>
  <si>
    <t>ADIANA GUADALUPE NAVARRO MONTES</t>
  </si>
  <si>
    <t>01-129838</t>
  </si>
  <si>
    <t>VAQA970816HCMLRR00</t>
  </si>
  <si>
    <t>CARLOS VALENCIA BARRETO</t>
  </si>
  <si>
    <t>MARGARITA QUIROZ CALVARIO</t>
  </si>
  <si>
    <t>DAMIAN CARMONA No. 750</t>
  </si>
  <si>
    <t>VEMA760915</t>
  </si>
  <si>
    <t>VEMA760915HCMLRL02</t>
  </si>
  <si>
    <t xml:space="preserve">PLAYA CUYUTLAN 163 A </t>
  </si>
  <si>
    <t>CALC910804HCMMMR01</t>
  </si>
  <si>
    <t>CARLOS CAMPOS CARRILLO</t>
  </si>
  <si>
    <t>LUZ MARIA LOMELI GUTIERREZ</t>
  </si>
  <si>
    <t>AND 6 No. 9</t>
  </si>
  <si>
    <t>INDECO</t>
  </si>
  <si>
    <t>CALC910804668</t>
  </si>
  <si>
    <t>DICC9508083F3</t>
  </si>
  <si>
    <t>DICC950808HCMZRR09</t>
  </si>
  <si>
    <t>RAFAEL DIAZ REINA</t>
  </si>
  <si>
    <t>ARACELI CORIA SANCHEZ</t>
  </si>
  <si>
    <t>AND 7 No. 125</t>
  </si>
  <si>
    <t>02-044387/02-049459</t>
  </si>
  <si>
    <t>JISL011120</t>
  </si>
  <si>
    <t>JISL011120HCMMNSA6</t>
  </si>
  <si>
    <t>JOSE ANGEL CUEVA</t>
  </si>
  <si>
    <t>MARTHA AYALA JIMENEZ SANCHEZ</t>
  </si>
  <si>
    <t>LIMONEROS NO. 419</t>
  </si>
  <si>
    <t>SANTA ELENA</t>
  </si>
  <si>
    <t>LOVA980208</t>
  </si>
  <si>
    <t>LOVA980208HJCPLL03</t>
  </si>
  <si>
    <t>NORMA YADIRA VALADEZ SOLIS</t>
  </si>
  <si>
    <t>BENITO JUAREZ No. 11</t>
  </si>
  <si>
    <t>ESTHER ZUNO</t>
  </si>
  <si>
    <t>MAAL921014</t>
  </si>
  <si>
    <t>MAAL921014HCMRRS08</t>
  </si>
  <si>
    <t>LUIS CARLOS MARISCAL GUTIERREZ</t>
  </si>
  <si>
    <t>MARTHA ARCINIEGA GARCIA</t>
  </si>
  <si>
    <t>TABASCO No. 161</t>
  </si>
  <si>
    <t>COFRADIA DE JUAREZ</t>
  </si>
  <si>
    <t>NVAE951005EM0</t>
  </si>
  <si>
    <t>NVAE951005HCMXVD02</t>
  </si>
  <si>
    <t>FRANCISCO NUÑEZ GUTIERREZ</t>
  </si>
  <si>
    <t>COLUMBA ELIZABETH AVILA TORRES</t>
  </si>
  <si>
    <t>ANDADOR 7 No. 132</t>
  </si>
  <si>
    <t>REBH970911</t>
  </si>
  <si>
    <t>REBH970911HCMYJC03</t>
  </si>
  <si>
    <t>GERARDO REYES SOSA</t>
  </si>
  <si>
    <t>MA DE JESUS BEJARANO REYES</t>
  </si>
  <si>
    <t>GALEANA No. 76</t>
  </si>
  <si>
    <t>SAN ISIDRO</t>
  </si>
  <si>
    <t>GOAI690217MCMNNR08</t>
  </si>
  <si>
    <t>GOAI690217SS8</t>
  </si>
  <si>
    <t>LEONARDO B GUTIERREZ No. 79</t>
  </si>
  <si>
    <t>BENITO JUAREZ</t>
  </si>
  <si>
    <t>GOAA7406203Y8</t>
  </si>
  <si>
    <t>GOAA740620MCMNN03</t>
  </si>
  <si>
    <t>RICARDO FLORES MAGON No. 143</t>
  </si>
  <si>
    <t>RAGA770524IG9</t>
  </si>
  <si>
    <t>RAGA770524MCMMRN07</t>
  </si>
  <si>
    <t>RUBEN RAMOS ROLON</t>
  </si>
  <si>
    <t>CATALINA GARCIA RINCON</t>
  </si>
  <si>
    <t>JOSE ESPINOSA RIVERA No. 116</t>
  </si>
  <si>
    <t>ENRIQUE SUAREZ LAZARO</t>
  </si>
  <si>
    <t>02-049171</t>
  </si>
  <si>
    <t>DOLORES CERVANTES R.</t>
  </si>
  <si>
    <t>GUSTAVO DIAZ ORDAZ No. 307</t>
  </si>
  <si>
    <t>ALVARO OBREGON</t>
  </si>
  <si>
    <t>ENGRANCIA SANCHEZ ZAVALA</t>
  </si>
  <si>
    <t>AUSS621023HSPGNN09</t>
  </si>
  <si>
    <t>AUSS6210233J8</t>
  </si>
  <si>
    <t>SAN LUIS P.</t>
  </si>
  <si>
    <t>CANC840108MM1</t>
  </si>
  <si>
    <t>CANC840108HMNSVR04</t>
  </si>
  <si>
    <t>JOSE CATAÑEDA CHAVEZ</t>
  </si>
  <si>
    <t>CANDELARIA NAVARRO CRUZ</t>
  </si>
  <si>
    <t>ISMAEL BERMUDEZ No. 391</t>
  </si>
  <si>
    <t>MAYRA CONCEPCION BARRON GARCIA</t>
  </si>
  <si>
    <t>COCR650325HM6</t>
  </si>
  <si>
    <t>COCR650325HCMRHF05</t>
  </si>
  <si>
    <t>J JESUS CORONADO TORRES</t>
  </si>
  <si>
    <t>IRINCA CHAVEZ RUELAS</t>
  </si>
  <si>
    <t>RIO BALSAS SUR No. 309</t>
  </si>
  <si>
    <t>BLANCA ESTHELA RAMIREZ</t>
  </si>
  <si>
    <t>0-2157605789</t>
  </si>
  <si>
    <t>RELA760219D52</t>
  </si>
  <si>
    <t>RELA760219HGRYRL15</t>
  </si>
  <si>
    <t>GUERRERO</t>
  </si>
  <si>
    <t>ANDADOR 2 No. 386</t>
  </si>
  <si>
    <t>AMELIA LORETO SALOME</t>
  </si>
  <si>
    <t>INOCENTE REYES BEDOLLA</t>
  </si>
  <si>
    <t>ROSARIO RODRIGUEZ SERRANO</t>
  </si>
  <si>
    <t>ROLL7111078Q3</t>
  </si>
  <si>
    <t>ROLL711107HCMDNN05</t>
  </si>
  <si>
    <t>ROSA LINARES ALCALA</t>
  </si>
  <si>
    <t>PALMA REAL No. 814</t>
  </si>
  <si>
    <t>MARTHA GARCIA LICEA</t>
  </si>
  <si>
    <t>MASR9104071H5</t>
  </si>
  <si>
    <t>MASR910407MCMRNQ09</t>
  </si>
  <si>
    <t>MAURICIO MARTINEZ DELINO</t>
  </si>
  <si>
    <t>NORMA LINDA SANTANA TAPIA</t>
  </si>
  <si>
    <t>02-040875</t>
  </si>
  <si>
    <t>DERJ670105</t>
  </si>
  <si>
    <t>DERJ670105HCMLDN01</t>
  </si>
  <si>
    <t xml:space="preserve">J TRINIDAD DELGADO </t>
  </si>
  <si>
    <t>MARIANA RODRIGUEZ RAMIREZ</t>
  </si>
  <si>
    <t>DE LAGO No. 152</t>
  </si>
  <si>
    <t>MA TERESA SANCHEZ ALATORRE</t>
  </si>
  <si>
    <t>RARO861111K69</t>
  </si>
  <si>
    <t>RARO861111HCMMNC01</t>
  </si>
  <si>
    <t>JOSE RAMOS MARQUEZ</t>
  </si>
  <si>
    <t>ANDA SALVADOR SOLIS No. 7</t>
  </si>
  <si>
    <t>INFONAVIT</t>
  </si>
  <si>
    <t xml:space="preserve">JANETH MUNGUA </t>
  </si>
  <si>
    <t>02-039282</t>
  </si>
  <si>
    <t>RORO710829DX2</t>
  </si>
  <si>
    <t>RORO710829HCMDMS06</t>
  </si>
  <si>
    <t>EUGENIO RODRIGUEZ RAMIREZ</t>
  </si>
  <si>
    <t>MA REFUGIO RAMIREZ QUINTERO</t>
  </si>
  <si>
    <t>2 DE ABRIL No. 167</t>
  </si>
  <si>
    <t>LAURA CECILIA DUEÑAS</t>
  </si>
  <si>
    <t>02-047924</t>
  </si>
  <si>
    <t>SEPF921214</t>
  </si>
  <si>
    <t>SEPF921214HCMRRR09</t>
  </si>
  <si>
    <t>JAVIER SERRATOS REVOLLEDO</t>
  </si>
  <si>
    <t>MARGARITA PARRA MENDOZA</t>
  </si>
  <si>
    <t>DIAZ MIRON No. 20</t>
  </si>
  <si>
    <t>FLORESTA</t>
  </si>
  <si>
    <t>CAPE851022EJ5</t>
  </si>
  <si>
    <t>CAPE851022HCMSRD03</t>
  </si>
  <si>
    <t>JOSE CASILLAS GARCIA</t>
  </si>
  <si>
    <t>ESTHER PEREZ NAVARRO</t>
  </si>
  <si>
    <t>AV 5 DE MAYO No. 21</t>
  </si>
  <si>
    <t>MORENO</t>
  </si>
  <si>
    <t>COSI870305Q32</t>
  </si>
  <si>
    <t>COSI870305HCMNLV07</t>
  </si>
  <si>
    <t>MARIO CONTRERAS DIAZ</t>
  </si>
  <si>
    <t>MA DE JESUS SILVA CISNEROS</t>
  </si>
  <si>
    <t>BELISARIO DOMINGUEZ No. 361</t>
  </si>
  <si>
    <t>MARIA VICTOIA VALENCIA CUEVAS</t>
  </si>
  <si>
    <t xml:space="preserve">             </t>
  </si>
  <si>
    <t>GOOJ720817HB4</t>
  </si>
  <si>
    <t>GOOJ720817HCMNRR04</t>
  </si>
  <si>
    <t>TOMAS GONZALEZ BAUTISTA</t>
  </si>
  <si>
    <t>CECILIA ORTIZ TORRES</t>
  </si>
  <si>
    <t>02-0119</t>
  </si>
  <si>
    <t>AND JUANA DE ARCO No. 732</t>
  </si>
  <si>
    <t>SOR JUANA INES</t>
  </si>
  <si>
    <t>LOCG930528B14</t>
  </si>
  <si>
    <t>LOCG930528HCMPNL06</t>
  </si>
  <si>
    <t>JORGE LOPEZ VAZQUEZ</t>
  </si>
  <si>
    <t>CANDELARIA CANALES ALMORAS</t>
  </si>
  <si>
    <t xml:space="preserve">MA DE JESUS CARDENAS </t>
  </si>
  <si>
    <t>MACJ671023</t>
  </si>
  <si>
    <t>MACJ671023HCMRRV03</t>
  </si>
  <si>
    <t>JESUS MARQUEZ CASAS</t>
  </si>
  <si>
    <t>SENORINA CRUZ LOPEZ</t>
  </si>
  <si>
    <t>SIMON BOLIVAR No. 435</t>
  </si>
  <si>
    <t>FCO VILLA</t>
  </si>
  <si>
    <t>RUCL770319L52</t>
  </si>
  <si>
    <t>RUCL770319HCMZDS08</t>
  </si>
  <si>
    <t>JOSEFINA CEDEÑO</t>
  </si>
  <si>
    <t>MIGUEL HIFALGO</t>
  </si>
  <si>
    <t>SIFE880708HCMRRD04</t>
  </si>
  <si>
    <t>SIFE880708L52</t>
  </si>
  <si>
    <t>EDUARDO SIRONDARO CRUZ</t>
  </si>
  <si>
    <t>ADELINA FERNANDEZ NAVARRO</t>
  </si>
  <si>
    <t>ELIAZ ZAMORA VERDUZCO No. 99</t>
  </si>
  <si>
    <t>SAN JOSE</t>
  </si>
  <si>
    <t>VACJ750518BH5</t>
  </si>
  <si>
    <t>VACJ750518HCMLMN03</t>
  </si>
  <si>
    <t>JUAN VALDEZ RAMIREZ</t>
  </si>
  <si>
    <t>MARIA DE LA LUZ CAMARENA</t>
  </si>
  <si>
    <t>AND BUGAMBILIAS 152</t>
  </si>
  <si>
    <t>ELIAS ZAMORA</t>
  </si>
  <si>
    <t>AAON8604116P1</t>
  </si>
  <si>
    <t>AAON860411HCMLLL08</t>
  </si>
  <si>
    <t>ALEJANDRO ALVAREZ TRINIDAD</t>
  </si>
  <si>
    <t>ANDREA OLIVEROS ROSAS</t>
  </si>
  <si>
    <t>CATP830413</t>
  </si>
  <si>
    <t>CATP830413HCMSRD04</t>
  </si>
  <si>
    <t>JOSE CARLOS CASTRO LOPEZ</t>
  </si>
  <si>
    <t>MORELOS 564</t>
  </si>
  <si>
    <t>BLANCA JUDITH RAMOS SOLANO</t>
  </si>
  <si>
    <t>DAMF860730HI1</t>
  </si>
  <si>
    <t>DAMF860730HJCVRR05</t>
  </si>
  <si>
    <t>SALVADOR DAVALOS MUÑOZ</t>
  </si>
  <si>
    <t>MARICELA MARTINEZ HERNANDEZ</t>
  </si>
  <si>
    <t>REVOLUCION No. 1010</t>
  </si>
  <si>
    <t>PABLO SILVA GARCIA</t>
  </si>
  <si>
    <t>BRENDA ARACELI</t>
  </si>
  <si>
    <t>MEAV880115IM6</t>
  </si>
  <si>
    <t>MEAV880115HCMNVC03</t>
  </si>
  <si>
    <t>MENDOZA NAJERA ENRIQUE</t>
  </si>
  <si>
    <t>AVIÑA LINO LOURDES</t>
  </si>
  <si>
    <t>ARACELI ROSALES QUINTERO</t>
  </si>
  <si>
    <t>POVR741207</t>
  </si>
  <si>
    <t>POVR741207HCMRLC14</t>
  </si>
  <si>
    <t>ADOLFO LOPEZ MATEOS No. 307</t>
  </si>
  <si>
    <t>OROFLOR</t>
  </si>
  <si>
    <t>ALEJANDRA SANTAN</t>
  </si>
  <si>
    <t>RORG821216R28</t>
  </si>
  <si>
    <t>RORG821216HCMDLL03</t>
  </si>
  <si>
    <t>EUSEBIO RODRIGUEZ MEDINA</t>
  </si>
  <si>
    <t>MA EVA ROLON OROZCO</t>
  </si>
  <si>
    <t>SOLIDARIDAD No. 150</t>
  </si>
  <si>
    <t>ELVA CECILIA</t>
  </si>
  <si>
    <t>HERLINDA REYES B.</t>
  </si>
  <si>
    <t>SARH8207127V7</t>
  </si>
  <si>
    <t>SARH820712HCMLDG01</t>
  </si>
  <si>
    <t>CORREGIDORA No. 30</t>
  </si>
  <si>
    <t>COFRADIA</t>
  </si>
  <si>
    <t>EICC9408247V7</t>
  </si>
  <si>
    <t>EICC940824HCMSNR05</t>
  </si>
  <si>
    <t>PROLONGACION TORRES QUINTERO No. 99</t>
  </si>
  <si>
    <t>PONCIANO ARREAGA</t>
  </si>
  <si>
    <t>EIPP800408</t>
  </si>
  <si>
    <t>EIPP800408HCMSDD00</t>
  </si>
  <si>
    <t>JUAN ALVAREZ 807</t>
  </si>
  <si>
    <t>RABP910226LD0</t>
  </si>
  <si>
    <t>RABP910226HCMMCB02</t>
  </si>
  <si>
    <t>PABLO RAMIREZ BAZAN</t>
  </si>
  <si>
    <t>MARIA ELENA BECERRA</t>
  </si>
  <si>
    <t>FRANCISCO VILLA No. 325</t>
  </si>
  <si>
    <t>BIES841223CF9</t>
  </si>
  <si>
    <t>BIES841223HCMRSR00</t>
  </si>
  <si>
    <t>SERGIO BRIZUELA HERNANDEZ</t>
  </si>
  <si>
    <t>ROSA ESTHER ESPIRITU PADILLA</t>
  </si>
  <si>
    <t>AQUILES SERDAN NO. 925</t>
  </si>
  <si>
    <t>V. FLORIDA</t>
  </si>
  <si>
    <t>MARGARITA MONTES MARTINEZ</t>
  </si>
  <si>
    <t>DOLA770930D58</t>
  </si>
  <si>
    <t>DOLA770930HCMMML04</t>
  </si>
  <si>
    <t>ADOLFO DOMINGUEZ RODRIGUEZ</t>
  </si>
  <si>
    <t>MARIA ELENA LOMELY HUERTA</t>
  </si>
  <si>
    <t>PROGRESO No. 1068</t>
  </si>
  <si>
    <t>GURC940503HCMZZR07</t>
  </si>
  <si>
    <t>GURC940503E3A</t>
  </si>
  <si>
    <t>SALVADOR GUZMAN LOPEZ</t>
  </si>
  <si>
    <t>REINALDO RUIZ RAMOS</t>
  </si>
  <si>
    <t>JARL780213</t>
  </si>
  <si>
    <t>JARL780213HMNCSS03</t>
  </si>
  <si>
    <t>GALEANA No. 1117</t>
  </si>
  <si>
    <t>REAL DEL BOQUE</t>
  </si>
  <si>
    <t>AMELIA VALDIVIA URTIZ</t>
  </si>
  <si>
    <t>MOFO790109</t>
  </si>
  <si>
    <t>MOFO790109HCMRRS06</t>
  </si>
  <si>
    <t>ANDADOR 6 No. 194</t>
  </si>
  <si>
    <t>SAPM740818HCMNXL06</t>
  </si>
  <si>
    <t>SAPM740818NT2</t>
  </si>
  <si>
    <t>AGUSTIN MELGAR No. 569</t>
  </si>
  <si>
    <t>ROSALVA RAMIREZ OLMOS</t>
  </si>
  <si>
    <t>TEVE920830GW7</t>
  </si>
  <si>
    <t>TEVE920830HCMJLD00</t>
  </si>
  <si>
    <t>URSULO GALVAN No. 174</t>
  </si>
  <si>
    <t>AENP750709</t>
  </si>
  <si>
    <t>AENP750709MCMNLT08</t>
  </si>
  <si>
    <t>MANUEL ANGEL VIRGEN</t>
  </si>
  <si>
    <t>ENEDINA MALDONADO</t>
  </si>
  <si>
    <t>PINO SUAREZ No. 959</t>
  </si>
  <si>
    <t>GAMJ600603H5A</t>
  </si>
  <si>
    <t>GAMJ600603HCMYNN08</t>
  </si>
  <si>
    <t>GERONIMO GAYTAN LOPEZ</t>
  </si>
  <si>
    <t>BLANCA ARACELI MENDEZ</t>
  </si>
  <si>
    <t>PEDRO ORTIZ RUBIO</t>
  </si>
  <si>
    <t>LIMONERO</t>
  </si>
  <si>
    <t>NORMA GUADALUPE PEREZ MEDINA</t>
  </si>
  <si>
    <t>IEAZ830821DA0</t>
  </si>
  <si>
    <t>IEAZ830821MCMGNN07</t>
  </si>
  <si>
    <t>JOSE IGLESIAS TORRES</t>
  </si>
  <si>
    <t>JUANA ANDRADE ZAVALA</t>
  </si>
  <si>
    <t>2-201A11245501</t>
  </si>
  <si>
    <t>LEMC780503KB1</t>
  </si>
  <si>
    <t>LEMC780503MCMYZR03</t>
  </si>
  <si>
    <t>JOSE LEYVA CHAVEZ</t>
  </si>
  <si>
    <t>GLORIA MEZA GOMEZ</t>
  </si>
  <si>
    <t>ANDADOR 6 No. 121</t>
  </si>
  <si>
    <t>02-043525</t>
  </si>
  <si>
    <t>PURM680516DN7</t>
  </si>
  <si>
    <t>PURM680516MCMNMR01</t>
  </si>
  <si>
    <t>FRANCISCO PUENTE HERNANDEZ</t>
  </si>
  <si>
    <t>MA CRSITINA RAMIRE J</t>
  </si>
  <si>
    <t>CRISTOBAN COLON No. 610</t>
  </si>
  <si>
    <t>02-021884</t>
  </si>
  <si>
    <t>RARL9112301ZA</t>
  </si>
  <si>
    <t>RARL911230MCMMYR04</t>
  </si>
  <si>
    <t>MARTHA RAMOS REYES</t>
  </si>
  <si>
    <t>ROAK870926AP4</t>
  </si>
  <si>
    <t>ROAK870926MCMLNR02</t>
  </si>
  <si>
    <t>JUAN CARLOS ROLON MICHEL</t>
  </si>
  <si>
    <t>MA TERESA ANDRADE VALADEZ</t>
  </si>
  <si>
    <t>CAJERO</t>
  </si>
  <si>
    <t>SOMA820118</t>
  </si>
  <si>
    <t>SOMA820118MCMLLM03</t>
  </si>
  <si>
    <t>GENARO SOLANO VALDEZ</t>
  </si>
  <si>
    <t>GLENDA MARGARITA MALDONADO</t>
  </si>
  <si>
    <t>AV DE LA JUVENTUD No. 837</t>
  </si>
  <si>
    <t>DIVORCIADA</t>
  </si>
  <si>
    <t>0-4078751866</t>
  </si>
  <si>
    <t>YOCK930105RD3</t>
  </si>
  <si>
    <t>YOCK930105MCMGHR08</t>
  </si>
  <si>
    <t>ALFREDO SILVA</t>
  </si>
  <si>
    <t>MA ELENA CHAVARRIA</t>
  </si>
  <si>
    <t>VOLCAN DE COLIMA No. 168</t>
  </si>
  <si>
    <t>LA FLORESTA</t>
  </si>
  <si>
    <t>JOSE HERIBERTO SANTOS ACERGA</t>
  </si>
  <si>
    <t>FOVM910404232</t>
  </si>
  <si>
    <t>FOVM910404MJCLLR00</t>
  </si>
  <si>
    <t>JORGE OCTAVIO FLORES AGUILAR</t>
  </si>
  <si>
    <t>ANA MARIA VILLALVAZO SALVATIERRA</t>
  </si>
  <si>
    <t>RAFAEL BARBOSA ROBLES</t>
  </si>
  <si>
    <t>MAOC920415</t>
  </si>
  <si>
    <t>MAOC920415HCMCCR09</t>
  </si>
  <si>
    <t>DANIEL MACHAIN FLORES</t>
  </si>
  <si>
    <t>SUSANA OCHOA MAGAÑA</t>
  </si>
  <si>
    <t>PLAYA CARELLES No. 42</t>
  </si>
  <si>
    <t>OOFS841206AAA</t>
  </si>
  <si>
    <t>OOFS841206MCMRLR08</t>
  </si>
  <si>
    <t>CLAUDIO OROZCO</t>
  </si>
  <si>
    <t>ALEJANDRA FLORES HERRERA</t>
  </si>
  <si>
    <t>SOLTERA</t>
  </si>
  <si>
    <t xml:space="preserve">  </t>
  </si>
  <si>
    <t>SOGA8412222N9</t>
  </si>
  <si>
    <t>SOGA841222MCMLRN03</t>
  </si>
  <si>
    <t>URSULO GALVAN No. 47</t>
  </si>
  <si>
    <t>AEMM871027T6A</t>
  </si>
  <si>
    <t>AEMM871027MCMNLY06</t>
  </si>
  <si>
    <t>ENEDINA MALDONADO FERNANDEZ</t>
  </si>
  <si>
    <t>AUAC880216K93</t>
  </si>
  <si>
    <t>AUAC880216HDGQLR05</t>
  </si>
  <si>
    <t>ALFREDO ANGUIANO ADRIAN</t>
  </si>
  <si>
    <t>MARGARITA ALVARADO CUEVAS</t>
  </si>
  <si>
    <t>ISMAEL BERMUDEZ No. 388</t>
  </si>
  <si>
    <t>MESM9008155X7</t>
  </si>
  <si>
    <t>MESM900815HCMLNR00</t>
  </si>
  <si>
    <t>GUSTAVO MELCHOR GUTIERREZ</t>
  </si>
  <si>
    <t>VERONICA SANCHEZ MARTEL</t>
  </si>
  <si>
    <t>MEDELLIN No. 659</t>
  </si>
  <si>
    <t>POPULAR</t>
  </si>
  <si>
    <t>PABA781004ML9</t>
  </si>
  <si>
    <t>PABA781004MCMDLN06</t>
  </si>
  <si>
    <t>CONRADO PADILLA OROZCO</t>
  </si>
  <si>
    <t>SOCORRO BLANCO BAUTISTA</t>
  </si>
  <si>
    <t>RIO BRAVO No. 45</t>
  </si>
  <si>
    <t>JOSE VELAZQUEZ NAVARRO</t>
  </si>
  <si>
    <t>AEPM871120B7A</t>
  </si>
  <si>
    <t>AEPM871120HCMNNN02</t>
  </si>
  <si>
    <t>JOSE ANGEL VIRGEN</t>
  </si>
  <si>
    <t>MA DEL CARMEN PUENTE</t>
  </si>
  <si>
    <t>ANDADO 3 No. 360</t>
  </si>
  <si>
    <t>ADRIAN VELAZQUEZ ALVAREZ</t>
  </si>
  <si>
    <t>LASL831002</t>
  </si>
  <si>
    <t>LASL831002HCMMN09</t>
  </si>
  <si>
    <t>MA GUADALUPE MORETT No. 882</t>
  </si>
  <si>
    <t>RESIDENCIAL TABACHINES</t>
  </si>
  <si>
    <t>VILLA DE ALVAREZ</t>
  </si>
  <si>
    <t>ESTEFANIA AVILA</t>
  </si>
  <si>
    <t>MOGA700408DX1</t>
  </si>
  <si>
    <t>MOGA700408HCMRTL04</t>
  </si>
  <si>
    <t>EMILIANO MORONES RAMIREZ</t>
  </si>
  <si>
    <t>MA DE LOS ANGELES GUTIERREZ.</t>
  </si>
  <si>
    <t>ADOLFO RUIZ CORTINES No. 218</t>
  </si>
  <si>
    <t>L CARDENAS</t>
  </si>
  <si>
    <t>5209880652-5</t>
  </si>
  <si>
    <t>MAMJ881122PI3</t>
  </si>
  <si>
    <t>MAMJ881122HCMRKN01</t>
  </si>
  <si>
    <t>FRANCISCO SALVADOR ELISEA QUINTERO</t>
  </si>
  <si>
    <t>LILIA MARTINA MACIAS CABRERA</t>
  </si>
  <si>
    <t>PASEO DE ORQUIDEAS No. 3</t>
  </si>
  <si>
    <t>VILLAS DE BUGAMBILIA</t>
  </si>
  <si>
    <t>VIAS900303NS6</t>
  </si>
  <si>
    <t>VIAS900303HCMRRB00</t>
  </si>
  <si>
    <t>SABAS VIRGEN OLVERA</t>
  </si>
  <si>
    <t>MA ELENA ARIAS GODINES</t>
  </si>
  <si>
    <t>LAGO DE ZIRAHUEN No. 135</t>
  </si>
  <si>
    <t>REMF8910049S1</t>
  </si>
  <si>
    <t>REMF891004HCMBNR01</t>
  </si>
  <si>
    <t>SALVADOR RAMOS GONZALEZ</t>
  </si>
  <si>
    <t>CARMEN LARIOS SOTO</t>
  </si>
  <si>
    <t>CLEMENTE RAMIREZ No. 624</t>
  </si>
  <si>
    <t>RALC840121MC6</t>
  </si>
  <si>
    <t>RALC840121MCMMRR08</t>
  </si>
  <si>
    <t>REDE890711KVA</t>
  </si>
  <si>
    <t>REDE890711HCMYMM01</t>
  </si>
  <si>
    <t>AGUSTIN REYNA GONZALEZ</t>
  </si>
  <si>
    <t>CATALINA DOMINGUEZ GUERRERO</t>
  </si>
  <si>
    <t>AUBJ720903DA6</t>
  </si>
  <si>
    <t>AUBJ720903HCMGRL05</t>
  </si>
  <si>
    <t>ROBERTO AGUILAR GAYTAN</t>
  </si>
  <si>
    <t>BERTHA BARAJAS LARIOS</t>
  </si>
  <si>
    <t>COCOTERO No. 440</t>
  </si>
  <si>
    <t xml:space="preserve">SANTA ELENA </t>
  </si>
  <si>
    <t>JUAN JOSE ATILANO DE ANDA</t>
  </si>
  <si>
    <t>SUSANA PONCE MORENO</t>
  </si>
  <si>
    <t>ABEL CORONA No. 570</t>
  </si>
  <si>
    <t>LUIS DONALDO CORONA</t>
  </si>
  <si>
    <t>LIMPIEZA EXHIBICION</t>
  </si>
  <si>
    <t>CACL990116</t>
  </si>
  <si>
    <t>CACL990116HCMMBS06</t>
  </si>
  <si>
    <t>INFONAVIT LAS HUERTAS</t>
  </si>
  <si>
    <t>CAAM890311HMNLNS01</t>
  </si>
  <si>
    <t>CAAM890311P38</t>
  </si>
  <si>
    <t>JOSE LUIS CALIXTO ARRIAGA</t>
  </si>
  <si>
    <t>LAS ROSAS No. 675</t>
  </si>
  <si>
    <t>SOR JUANA INEZ</t>
  </si>
  <si>
    <t>CALG760503668</t>
  </si>
  <si>
    <t>CALG760503HCMMMB07</t>
  </si>
  <si>
    <t>LUZ MA LOMELI GUTIERREZ</t>
  </si>
  <si>
    <t xml:space="preserve">PEDRO TORRES ORTIZ No.440B </t>
  </si>
  <si>
    <t>GALV691219CZ4</t>
  </si>
  <si>
    <t>GALV691219HDFRPC03</t>
  </si>
  <si>
    <t>RUBEN GARCIA PEREZ</t>
  </si>
  <si>
    <t>JUANA LOPEZ MEDINA</t>
  </si>
  <si>
    <t>EL SALVADOR No. 500</t>
  </si>
  <si>
    <t>MADRID</t>
  </si>
  <si>
    <t>CRISTINA CARRILLO MONTES</t>
  </si>
  <si>
    <t>IAHA871123PP1</t>
  </si>
  <si>
    <t>IAHA871123HCMGPL02</t>
  </si>
  <si>
    <t>ABEL W IGNACIO HERNANDEZ</t>
  </si>
  <si>
    <t>MA ISABEL HUAPEO GARCIA</t>
  </si>
  <si>
    <t>ANDADO 16 No. 395</t>
  </si>
  <si>
    <t>LAEA660521HS0</t>
  </si>
  <si>
    <t>LAEA660521HCMLSL06</t>
  </si>
  <si>
    <t>RIO BALSAS No. 197</t>
  </si>
  <si>
    <t>PURF811121MR0</t>
  </si>
  <si>
    <t>PURF811121HCMNMR06</t>
  </si>
  <si>
    <t>JUAN ESCUTIA No. 534</t>
  </si>
  <si>
    <t>NIÑOS HEROES</t>
  </si>
  <si>
    <t>CAMA880926DI7</t>
  </si>
  <si>
    <t>CAMA880926HCMHRL01</t>
  </si>
  <si>
    <t>ALBERTO CHACON ZANABRIA</t>
  </si>
  <si>
    <t>ROSA DELIA MORENO CASTILLO</t>
  </si>
  <si>
    <t>MIGUEL HIDALGO No. 25</t>
  </si>
  <si>
    <t>GUADALUPE SOSA MOLINA</t>
  </si>
  <si>
    <t>REMO9701048IO</t>
  </si>
  <si>
    <t>REMO970104HCMBNS01</t>
  </si>
  <si>
    <t>RIGD931115K51</t>
  </si>
  <si>
    <t>RIGD931115HCMVNG04</t>
  </si>
  <si>
    <t>EMILIO FRANCISCO RIVERA VARGAS</t>
  </si>
  <si>
    <t>MA PATRICIA GONZALEZ CEJA</t>
  </si>
  <si>
    <t>JORGE MESINA PEÑA No. 220</t>
  </si>
  <si>
    <t>PABLO SILVA</t>
  </si>
  <si>
    <t>ANA LORENA OCHOA VALDEZ</t>
  </si>
  <si>
    <t>ROCM930705MW3</t>
  </si>
  <si>
    <t>ROCM930705HCMMLR02</t>
  </si>
  <si>
    <t>0-9089131016</t>
  </si>
  <si>
    <t>TIZD910417QS2</t>
  </si>
  <si>
    <t>TIZD910417HTSRXG03</t>
  </si>
  <si>
    <t>HIDALGO</t>
  </si>
  <si>
    <t>ABDAN TISTAN TORRES</t>
  </si>
  <si>
    <t xml:space="preserve">VERONICA ZUÑIGA </t>
  </si>
  <si>
    <t>AND 11 No. 107</t>
  </si>
  <si>
    <t>MARY CARMEN PARRA GUTIERREZ</t>
  </si>
  <si>
    <t>CAMD770513KX4</t>
  </si>
  <si>
    <t>CAMD770513HCMRNN03</t>
  </si>
  <si>
    <t>TLAXCALA No. 33</t>
  </si>
  <si>
    <t>MALO780102</t>
  </si>
  <si>
    <t>MALO780102HCMRPS02</t>
  </si>
  <si>
    <t>IDOLINA MIGUEL 755</t>
  </si>
  <si>
    <t>RAFAEL REBOLLEDO FIGUEROA</t>
  </si>
  <si>
    <t>ENRIQUET AMANZO GUDIÑO</t>
  </si>
  <si>
    <t>2 DE ABRIL No 970</t>
  </si>
  <si>
    <t>LIZBETH MOJICA BARRETO</t>
  </si>
  <si>
    <t>SOTELO MEZA RUBEN</t>
  </si>
  <si>
    <t>SOMR840105U75</t>
  </si>
  <si>
    <t>SOMR840105HCMTZB02</t>
  </si>
  <si>
    <t>GILDARDO SOTELO RAMIREZ</t>
  </si>
  <si>
    <t>ESTHER MEZA MAGNO</t>
  </si>
  <si>
    <t>REPUBLICA DE PANAMA No. 1992</t>
  </si>
  <si>
    <t>ESTRADA HERNANDEZ ALEJANDRO</t>
  </si>
  <si>
    <t>RECURSOS HUMANOS</t>
  </si>
  <si>
    <t>JEFE DE RECURSOS HUMANOS</t>
  </si>
  <si>
    <t>ADMINISTRADOR DE DATOS MAESTROS</t>
  </si>
  <si>
    <t>EAHA9103287T6</t>
  </si>
  <si>
    <t>EAHA910328HCMSRL00</t>
  </si>
  <si>
    <t>JUAN ESTRADA VELAZQUEZ</t>
  </si>
  <si>
    <t>JUANA HERNANDEZ VILLASEÑOR</t>
  </si>
  <si>
    <t>PRISCILIANO PEREZ No. 1277</t>
  </si>
  <si>
    <t>RIVERA DEL JAZMIN</t>
  </si>
  <si>
    <t>TRUJILLO PAZ LUISA ESTHER</t>
  </si>
  <si>
    <t>MARIO ALBERTO TRUJILLO</t>
  </si>
  <si>
    <t>PAULA PAZ MACIAS</t>
  </si>
  <si>
    <t>LAGUNA DE PASTORES No. 136</t>
  </si>
  <si>
    <t>STATUS (ALTA O BAJA)</t>
  </si>
  <si>
    <t>No. HIJOS</t>
  </si>
  <si>
    <t>NIVELES A PARTIR DEL 2015</t>
  </si>
  <si>
    <t>GERENTE DE OPERACIONES</t>
  </si>
  <si>
    <t>GERENTE DE VENTAS</t>
  </si>
  <si>
    <t>JERZAIN JOFFER VEGA</t>
  </si>
  <si>
    <t>JEFE  DE PROCESOS DE CALIDAD</t>
  </si>
  <si>
    <t>RUBEN SOTELO MEZA</t>
  </si>
  <si>
    <t>GERENTE DE RECURSOS HUMANOS</t>
  </si>
  <si>
    <t>CARMEN LORENA GUDIÑO OCHOA</t>
  </si>
  <si>
    <t>DIRECTOR ADMINISTRATIVO</t>
  </si>
  <si>
    <t>JAZMIN No. 1116</t>
  </si>
  <si>
    <t>JUAN OSEGUERA VELAZQUEZ No. 496</t>
  </si>
  <si>
    <t>LAGO DE ZIRAHUEN No. 177</t>
  </si>
  <si>
    <t>VOLCAN DE COLIMA ESQ AQUILES SERDAN</t>
  </si>
  <si>
    <t>JUAN JOSE RIOS No. 1106</t>
  </si>
  <si>
    <t xml:space="preserve">MARTINEZ LOPEZ OSCAR SAUL </t>
  </si>
  <si>
    <t>ELIZAS ZAMORA VERDUZCO</t>
  </si>
  <si>
    <t>FRANCISCO I. MADERO No. 470</t>
  </si>
  <si>
    <t>SALCEDO RODRIGUEZ HUGO ANDRES</t>
  </si>
  <si>
    <t>MORONES SERRANO ALBERTO HUGO</t>
  </si>
  <si>
    <t xml:space="preserve">ADOLFO RUIZ CORTINEZ #218 </t>
  </si>
  <si>
    <t>LAZARO CARDENAS</t>
  </si>
  <si>
    <t>O+</t>
  </si>
  <si>
    <t>ACOSTA PUENTE PEDRO NOE</t>
  </si>
  <si>
    <t>GRAL. MARTIN CARRERA #248</t>
  </si>
  <si>
    <t>JARDINES DE LA VILLA</t>
  </si>
  <si>
    <t>JOSE MOJICA  #650</t>
  </si>
  <si>
    <t>AND JAZMIN #7</t>
  </si>
  <si>
    <t>JARDINES DE TECOMAN</t>
  </si>
  <si>
    <t>MA ELENA ESPINOZA #465</t>
  </si>
  <si>
    <t>VILLAS DEL SOL</t>
  </si>
  <si>
    <t>CARRILLO  MONTES MARIA CRISTINA</t>
  </si>
  <si>
    <t>EL SALVADOR #500</t>
  </si>
  <si>
    <t>PALMA RUVELINA #255</t>
  </si>
  <si>
    <t>EMILIO PORTES GIL #513</t>
  </si>
  <si>
    <t>LIMONEROS</t>
  </si>
  <si>
    <t>OAXACA #615</t>
  </si>
  <si>
    <t>INDEPENDENCIA #303</t>
  </si>
  <si>
    <t>FRANCISCO VILLA #325</t>
  </si>
  <si>
    <t>ROSAS CEBALLOS RAUL</t>
  </si>
  <si>
    <t>ENSENADA CARRIZAL #183</t>
  </si>
  <si>
    <t>MARTINEZ AYARD JOSE RAMON</t>
  </si>
  <si>
    <t>PASO DEL RIO  #389</t>
  </si>
  <si>
    <t>JESUS REYES HEROLES #18</t>
  </si>
  <si>
    <t>MANZO MORENO IVAN AGUSTIN</t>
  </si>
  <si>
    <t>TECOMAN AND CIRO HURTADO #12</t>
  </si>
  <si>
    <t>CARLOS DE LA MADRID #170 SUR</t>
  </si>
  <si>
    <t>LOPEZ VELARDE #334</t>
  </si>
  <si>
    <t>L MORENO</t>
  </si>
  <si>
    <t>NIÑOS HEROES #231A</t>
  </si>
  <si>
    <t>TECOMAN #7</t>
  </si>
  <si>
    <t>RIO NARANJO #49</t>
  </si>
  <si>
    <t>MARTINEZ ORTEGA LUIS DANIEL</t>
  </si>
  <si>
    <t>SALVADOR SOLIS #21</t>
  </si>
  <si>
    <t>INF LAS HUERTAS</t>
  </si>
  <si>
    <t>TORRES RODRIGUEZ PABLO ENRIQUE</t>
  </si>
  <si>
    <t>RIO SALADO #143 OTE</t>
  </si>
  <si>
    <t>ESMERALDA 442</t>
  </si>
  <si>
    <t>LIBREACION No. 601 ESQE ABEL CORONA</t>
  </si>
  <si>
    <t>LUIS DONALDO COLOSIO</t>
  </si>
  <si>
    <t xml:space="preserve">RAMOS GARCIA ANGELICA ENGRACIA </t>
  </si>
  <si>
    <t>ADMON</t>
  </si>
  <si>
    <t>BAJA</t>
  </si>
  <si>
    <t>REGIDOR GARCIA RIGOBERTO</t>
  </si>
  <si>
    <t>REGR870519</t>
  </si>
  <si>
    <t>REGR870519HCMGRG01</t>
  </si>
  <si>
    <t>BOCA DE APIZA No. 24</t>
  </si>
  <si>
    <t xml:space="preserve">YOGUES CHAVARRIA KARLA KARINA </t>
  </si>
  <si>
    <t>MARTINEZ HIGUERA JOSE ANTONIO</t>
  </si>
  <si>
    <t>SUPERVISOR DE VENTAS</t>
  </si>
  <si>
    <t>MAHA700408G25</t>
  </si>
  <si>
    <t>MAHA700408HJXRGN04</t>
  </si>
  <si>
    <t>BERNARDO CELIS DE LA ROSA No. 702</t>
  </si>
  <si>
    <t>RANCHO BLANCO</t>
  </si>
  <si>
    <t>MANCILLA ZAVALA LUCIA CANDELARIA</t>
  </si>
  <si>
    <t>MAZL810509</t>
  </si>
  <si>
    <t>MAZL810509MCMNVC01</t>
  </si>
  <si>
    <t>FRANCISCO MANCILLA HURTADO</t>
  </si>
  <si>
    <t>SILVIA ZAVALA MENDEZ</t>
  </si>
  <si>
    <t>RIO GRIJALVA 99</t>
  </si>
  <si>
    <t>MANCILLA ROJAS BERENICE</t>
  </si>
  <si>
    <t>ANALISTA DE COMPRAS</t>
  </si>
  <si>
    <t>0-85159289977</t>
  </si>
  <si>
    <t>MARB920218</t>
  </si>
  <si>
    <t>MARB920218MCMNJR08</t>
  </si>
  <si>
    <t>ERNESTO MANCILLA CHAVEZ</t>
  </si>
  <si>
    <t>JUANA ROJAS BRAVO</t>
  </si>
  <si>
    <t>NICOLAS BRAVO No. 1079</t>
  </si>
  <si>
    <t>EL MORALETE</t>
  </si>
  <si>
    <t>COMPRADOR</t>
  </si>
  <si>
    <t>AOPP720221KDA</t>
  </si>
  <si>
    <t>AOPP720221HCMCND00</t>
  </si>
  <si>
    <t xml:space="preserve">NUÑEZ TORRES ALEJANDRA </t>
  </si>
  <si>
    <t>GARCIA CHACON PEDRO ANTONIO</t>
  </si>
  <si>
    <t>CHAVEZ CHOCOTECO EDGAR GREGORIO</t>
  </si>
  <si>
    <t>GARCIA VERDUZCO ADALBERTO</t>
  </si>
  <si>
    <t>JEFE DE ALMACEN</t>
  </si>
  <si>
    <t>ALMACEN1</t>
  </si>
  <si>
    <t>CACE891002</t>
  </si>
  <si>
    <t>CACE891002HCMHHD09</t>
  </si>
  <si>
    <t>MIGUEL CHAVEZ BARRAGAN</t>
  </si>
  <si>
    <t>AURELIA CHOCOTECO VALENCIA</t>
  </si>
  <si>
    <t xml:space="preserve">BENITO JUAREZ No. 31 </t>
  </si>
  <si>
    <t>MA DE JESUS MONTOYO ALCARAZ</t>
  </si>
  <si>
    <t>AGUILAR RUIZ EZEQUIEL</t>
  </si>
  <si>
    <t>ALMACEN2</t>
  </si>
  <si>
    <t>AURE970608</t>
  </si>
  <si>
    <t>AURE970608HCMGZZ06</t>
  </si>
  <si>
    <t>JOEL AGUILAR BARAJAS</t>
  </si>
  <si>
    <t>GLORIA RUIZ CERVANTES</t>
  </si>
  <si>
    <t>COCOTEROS No. 440</t>
  </si>
  <si>
    <t>RINCON ARROYO THALIA JANETH</t>
  </si>
  <si>
    <t>7:45 AM A  5:00 PM</t>
  </si>
  <si>
    <t>RIAT930227</t>
  </si>
  <si>
    <t>RIAT930227MCMNRH00</t>
  </si>
  <si>
    <t>BLAS RINCON LOPEZ</t>
  </si>
  <si>
    <t>MA DEL CARMEN ARROYO VILLA</t>
  </si>
  <si>
    <t>ANTONIO MONTES NO. 662</t>
  </si>
  <si>
    <t>BERUMEN VAZQUEZ EDBERG MIGUEL ANGEL</t>
  </si>
  <si>
    <t>ENCARGADO DE SISTEMAS</t>
  </si>
  <si>
    <t>BEVE851011HSPRZD06</t>
  </si>
  <si>
    <t>BEVE8510117D1</t>
  </si>
  <si>
    <t>AMADO NERVO No.1050</t>
  </si>
  <si>
    <t>MIRIAM GUADALUPE LOPEZ HERNANDEZ</t>
  </si>
  <si>
    <t>5202-85-1111-2</t>
  </si>
  <si>
    <t>GACP851115</t>
  </si>
  <si>
    <t>GACP851115HCNRHD06</t>
  </si>
  <si>
    <t>PEDRO GARCIA VAZQUEZ</t>
  </si>
  <si>
    <t>RUFINA CHACON BLAS</t>
  </si>
  <si>
    <t xml:space="preserve">AND PASEO DEL SAUCE 3 </t>
  </si>
  <si>
    <t>INFONAVIT LAS PALMAS</t>
  </si>
  <si>
    <t>MARIA BARAJAS CERVANTES</t>
  </si>
  <si>
    <t>NAVARRO DUARTE OSCAR ALEJANDRO</t>
  </si>
  <si>
    <t>NADO961111</t>
  </si>
  <si>
    <t>NADO961111HCMVRS06</t>
  </si>
  <si>
    <t>JOSE ANTONIO NAVARRO MUÑIZ</t>
  </si>
  <si>
    <t>MARIA CRISTINA DUARTE ALVAREZ</t>
  </si>
  <si>
    <t>GUILLERMO PRIETO No. 605</t>
  </si>
  <si>
    <t>TEPÈYAC</t>
  </si>
  <si>
    <t>HERMENEGILDO MENDOZA VIVIANA</t>
  </si>
  <si>
    <t>GERNETE DE VENTAS</t>
  </si>
  <si>
    <t>VENDEDOR</t>
  </si>
  <si>
    <t>HEMV870929</t>
  </si>
  <si>
    <t>HEMV870929MCMRNV01</t>
  </si>
  <si>
    <t>VICTORIANO HERMEREGILDO CHURAPE</t>
  </si>
  <si>
    <t>MA MERCEDES MENDOZA LOMELI</t>
  </si>
  <si>
    <t>DR MIGUEL GALINDO No. 121</t>
  </si>
  <si>
    <t>EMILIANO ZAPATA</t>
  </si>
  <si>
    <t>5291-74-2242-1</t>
  </si>
  <si>
    <t>NUTA731224</t>
  </si>
  <si>
    <t>NUTA731224MCMXRL05</t>
  </si>
  <si>
    <t>VEGA RAMIREZ CESAR</t>
  </si>
  <si>
    <t>VERC651001</t>
  </si>
  <si>
    <t>VERC651001HCJGMS01</t>
  </si>
  <si>
    <t>RIO COPATIZIO No. 112</t>
  </si>
  <si>
    <t>DIVORCIADO</t>
  </si>
  <si>
    <t>MARTINEZ RINCON MA DEL CARMEN</t>
  </si>
  <si>
    <t>ZENAIDA IGLESIAS ANDRADE</t>
  </si>
  <si>
    <t>JEFA DE CAJAS</t>
  </si>
  <si>
    <t>CANDELARIO MENDEZ MAYRA VIRIDIANA</t>
  </si>
  <si>
    <t>CAMM900420</t>
  </si>
  <si>
    <t>CAMM900420MCMNNY08</t>
  </si>
  <si>
    <t>MEDELLIN No. 1309</t>
  </si>
  <si>
    <t>AGUILAR NUÑEZ ADRIAN ERNESTO</t>
  </si>
  <si>
    <t>AUNA910919</t>
  </si>
  <si>
    <t>AUNA910919HCMGXD09</t>
  </si>
  <si>
    <t xml:space="preserve">PROL REVOLUCION No. 813 </t>
  </si>
  <si>
    <t>CARRILLO MONTES MARIA CRISTINA</t>
  </si>
  <si>
    <t>CAMC810724</t>
  </si>
  <si>
    <t>CAMC810724MCMRNR06</t>
  </si>
  <si>
    <t>CASADA</t>
  </si>
  <si>
    <t>GARCIA LOPEZ VICTOS MANUEL</t>
  </si>
  <si>
    <t>MARM880919QX6</t>
  </si>
  <si>
    <t>MARC880919MGRRNR08</t>
  </si>
  <si>
    <t>CAYETANO MARTINEZ SALGADO</t>
  </si>
  <si>
    <t>MA. GUADALUPE RINCON LOPEZ</t>
  </si>
  <si>
    <t>PALMA DE ORO No. 688</t>
  </si>
  <si>
    <t>MARCOS MENDOZA SALTO</t>
  </si>
  <si>
    <t>TERESA DE JESUS RAMIREZ ESCAREÑO</t>
  </si>
  <si>
    <t>MARIA ISABEL RAMIREZ ESCAREÑO</t>
  </si>
  <si>
    <t>MIGUEL GALINDO No. 318</t>
  </si>
  <si>
    <t>FLORES FIGUEROA DORIAN ROBERTO ALEJANDRO</t>
  </si>
  <si>
    <t>ALMACEN3</t>
  </si>
  <si>
    <t>SUPERVISOR DE ALMACEN3</t>
  </si>
  <si>
    <t>FOFD880120A90</t>
  </si>
  <si>
    <t>FOFD880120HCMLGR08</t>
  </si>
  <si>
    <t>ROBERTO FLORES REYES</t>
  </si>
  <si>
    <t>MA DEL REFUGIO FIGUEROA PEÑA</t>
  </si>
  <si>
    <t xml:space="preserve">AV DE LA PAZ No. 60 </t>
  </si>
  <si>
    <t>SANTA BARBARA</t>
  </si>
  <si>
    <t>SANCHEZ CONTRERAS JAVIER ALBERTO</t>
  </si>
  <si>
    <t>ANALISTA DE LOGISTICA</t>
  </si>
  <si>
    <t>SACJ910616HJCNNV08</t>
  </si>
  <si>
    <t>SACJ910616</t>
  </si>
  <si>
    <t>GERANIO No. 193</t>
  </si>
  <si>
    <t>LOMAS DE LAS FLORES</t>
  </si>
  <si>
    <t>GONZALEZ FERNANDEZ LEONARDO ALEXANDER</t>
  </si>
  <si>
    <t>GOFL941118</t>
  </si>
  <si>
    <t>GOFL941118HCMNRN01</t>
  </si>
  <si>
    <t>BENITO JUAREZ No. 968</t>
  </si>
  <si>
    <t>VILLA FLORIDA</t>
  </si>
  <si>
    <t>LUNA MORALES OSCAR GERARDO</t>
  </si>
  <si>
    <t>LUMO961122</t>
  </si>
  <si>
    <t>LUMO961122HCMNRS07</t>
  </si>
  <si>
    <t>ALDAMA No. 231</t>
  </si>
  <si>
    <t>TADEO RODRIGUEZ MIGUEL ANGEL</t>
  </si>
  <si>
    <t>(OCHOCIENTOS PESOS 00/100 M.N.)</t>
  </si>
  <si>
    <t>AUXILIAR DE INVNETARIOS</t>
  </si>
  <si>
    <t>TARM910706</t>
  </si>
  <si>
    <t>TARM910706HCMDDG05</t>
  </si>
  <si>
    <t>YUCATAN No. 60</t>
  </si>
  <si>
    <t>TEPEYAC</t>
  </si>
  <si>
    <t>HERNANDEZ LEYVA JOSE RAMON</t>
  </si>
  <si>
    <t>HELR960216</t>
  </si>
  <si>
    <t>HELR960216HCMRYM02</t>
  </si>
  <si>
    <t>PINO SUAREZ No. 863</t>
  </si>
  <si>
    <t>MOYA POLANCO JUAN CARLOS</t>
  </si>
  <si>
    <t>MOPJ740430</t>
  </si>
  <si>
    <t>MOPJ740430HCMYLN04</t>
  </si>
  <si>
    <t>5 DE MAYO No. 5</t>
  </si>
  <si>
    <t>GLENDA AURORA OSEGUERA OSEGUERA</t>
  </si>
  <si>
    <t>GARCIA VERDUZCO DANIEL</t>
  </si>
  <si>
    <t>MECANICO</t>
  </si>
  <si>
    <t>GAVD781201</t>
  </si>
  <si>
    <t>GAVD781201HJCRRN08</t>
  </si>
  <si>
    <t>CORREGIDORA No. 1114</t>
  </si>
  <si>
    <t>FRACC REAL DEL BOSQUE</t>
  </si>
  <si>
    <t>JAZMIN ESMERALDA VILLEGAS MANZO</t>
  </si>
  <si>
    <t>MANUEL GARCIA HERNANDEZ</t>
  </si>
  <si>
    <t>RAQUEL VERDUZCO CALVILLO</t>
  </si>
  <si>
    <t>CARDENAS CHAVARRIA MA DE JESUS</t>
  </si>
  <si>
    <t>INTENDENTE</t>
  </si>
  <si>
    <t>CACJ870113</t>
  </si>
  <si>
    <t>CACJ870113MCMRHS09</t>
  </si>
  <si>
    <t>JUAN CARDENAS ESCOTO</t>
  </si>
  <si>
    <t>MARIA ISABEL CHAVARRIA CEJA</t>
  </si>
  <si>
    <t>CARLOS DE LA MADRID No. 171</t>
  </si>
  <si>
    <t>LOPEZ CANALES GUILLERMO ALEJANDRO</t>
  </si>
  <si>
    <t>RAET930802</t>
  </si>
  <si>
    <t>RAET930802MCMMSR09</t>
  </si>
  <si>
    <t>VENCES AMEZQUITA RAFAEL</t>
  </si>
  <si>
    <t>SAMUEL REYNA DOMINGUEZ</t>
  </si>
  <si>
    <t>REDS920310</t>
  </si>
  <si>
    <t>REDS920310HJCYMM00</t>
  </si>
  <si>
    <t>OAXACA 6515</t>
  </si>
  <si>
    <t>(UN MIL  PESOS  00/100 M.N.)</t>
  </si>
  <si>
    <t>ENRIQUE CARRILLO LOPEZ</t>
  </si>
  <si>
    <t>CALE921219</t>
  </si>
  <si>
    <t>CALE921219HCMRPN06</t>
  </si>
  <si>
    <t>FRANCISCO CARRILLO RAMOS</t>
  </si>
  <si>
    <t>MA CONCEPCION LOPEZ GASPAR</t>
  </si>
  <si>
    <t>ZAFIRO 314</t>
  </si>
  <si>
    <t>LA FLORESTA II</t>
  </si>
  <si>
    <t>PAULINA DE LA TORRE PIÑA</t>
  </si>
  <si>
    <t>CAPTURISTA DE DATOS</t>
  </si>
  <si>
    <t>TOPP880622</t>
  </si>
  <si>
    <t>TOPP880622MHGRXL09</t>
  </si>
  <si>
    <t>SUSANA DE LA TORRE PIÑA</t>
  </si>
  <si>
    <t>JESUS REYES HEROLES No. 18</t>
  </si>
  <si>
    <t>CASTAÑEDA LUNA JORGE ALBERTO</t>
  </si>
  <si>
    <t>( DOS MIL SETECIENTOS CINCUENTA PESOS 00/100 M.N.)</t>
  </si>
  <si>
    <t>OPERACIONES</t>
  </si>
  <si>
    <t>SUPERVISOR DE INVENTARIOS Y OPERACIONES</t>
  </si>
  <si>
    <t>CALJ781031CC3</t>
  </si>
  <si>
    <t>CALJ781031HDFSNR02</t>
  </si>
  <si>
    <t>CDMX</t>
  </si>
  <si>
    <t>JOSE LUIS CASTAÑEDA</t>
  </si>
  <si>
    <t>ANA BERTHA LUNA</t>
  </si>
  <si>
    <t>RECOLUCION No. 62</t>
  </si>
  <si>
    <t>PARAISO EL COLOMO</t>
  </si>
  <si>
    <t>MANZANILLO</t>
  </si>
  <si>
    <t>ADRIANA KARINA RAMIREZ GAMIÑO</t>
  </si>
  <si>
    <t>VENCIDA</t>
  </si>
  <si>
    <t>RUELAS CASTRO JORGE ALBERTO</t>
  </si>
  <si>
    <t>AUXILIAR DE INVENTARIOS</t>
  </si>
  <si>
    <t>RUCJ920721</t>
  </si>
  <si>
    <t>RUCJ920721HCMLSR07</t>
  </si>
  <si>
    <t>JOSE ALFREDO RUELAS VELASCO</t>
  </si>
  <si>
    <t>MA D ELOS ANGELES CASTRO CARDENAS</t>
  </si>
  <si>
    <t>GUSTAVO DIAZ ORDAZ No. 11</t>
  </si>
  <si>
    <t>ARMERIA</t>
  </si>
  <si>
    <t>RAMIREZ SANCHEZ BLANCA ESTHELA</t>
  </si>
  <si>
    <t>( UN MIL QUINIENTOS PESOS 00/100 M.N.)</t>
  </si>
  <si>
    <t>AUXILIAR CONTABLE</t>
  </si>
  <si>
    <t>RASB891108F40</t>
  </si>
  <si>
    <t>RASB891108MCMMNL06</t>
  </si>
  <si>
    <t>JUAN MANUEL RAMIREZ RAMIREZ</t>
  </si>
  <si>
    <t>MARTHA SANCHEZ BRICEÑO</t>
  </si>
  <si>
    <t>ROBERTO FERNANDEZ TORRES No. 70</t>
  </si>
  <si>
    <t>COBIAN ANGUIANO JAIME JESUS</t>
  </si>
  <si>
    <t>( DOS MIL DOSCIENTOS CINCUENTA PESOS 00/100 M.N.)</t>
  </si>
  <si>
    <t>COAJ870406</t>
  </si>
  <si>
    <t>COAJ870406HCMBNM08</t>
  </si>
  <si>
    <t>JESUS COBIAN SANCHEZ</t>
  </si>
  <si>
    <t>LIDIA ANGUIANO IBARRA</t>
  </si>
  <si>
    <t>PRIV LINDA VISTA No. 64</t>
  </si>
  <si>
    <t>LINDAVISTA</t>
  </si>
  <si>
    <t>CHACON MORENO AUDELINA</t>
  </si>
  <si>
    <t>(UN MIL DOSCIENTOS PESOS 00/100 M.N.)</t>
  </si>
  <si>
    <t>CAMA870829</t>
  </si>
  <si>
    <t>CAMA870829MCMHRD02</t>
  </si>
  <si>
    <t>MIGUEL HOIDALGO No. 25</t>
  </si>
  <si>
    <t>ESPINOZA ALCALA ULISES OCATVIO</t>
  </si>
  <si>
    <t>( UN MIL DOSCIENTOS CINCUENTA PESOS 00/100 M.N.)</t>
  </si>
  <si>
    <t>ANALISTA DE INFORMACION</t>
  </si>
  <si>
    <t>EIAU920312</t>
  </si>
  <si>
    <t>EIAU920312HCMSLL00</t>
  </si>
  <si>
    <t>MARIA DEL REFUGIO ESPINOZA ALCALA</t>
  </si>
  <si>
    <t>JOSE VILLANUEVA MENDOZA S/N</t>
  </si>
  <si>
    <t>COFRADIA MORELOS</t>
  </si>
  <si>
    <t>PEREZ VEGA JOSE ANTONIO</t>
  </si>
  <si>
    <t>ADMINISTRADOR DE DATOS</t>
  </si>
  <si>
    <t>PEVA970421HCMRGN07</t>
  </si>
  <si>
    <t>PEVA970421</t>
  </si>
  <si>
    <t>JUAN JOSE PEREZ</t>
  </si>
  <si>
    <t>GUILLERMINA VEGA GOMEZ</t>
  </si>
  <si>
    <t>MANUEL BUENDIA No. 995</t>
  </si>
  <si>
    <t>JOSEFA ORTIZ</t>
  </si>
  <si>
    <t>ASCENCIO CAMPOS JUAN RAMON</t>
  </si>
  <si>
    <t>( UN MIL PESOS 00/100 M.N.)</t>
  </si>
  <si>
    <t>ALMACENISTA</t>
  </si>
  <si>
    <t>AECJ880723</t>
  </si>
  <si>
    <t>ECJ880723HCMSMN01</t>
  </si>
  <si>
    <t>FELIPE ASCENCIO AVALOS</t>
  </si>
  <si>
    <t>MARIA ESTHER CAMPOS TEJEDA</t>
  </si>
  <si>
    <t>BELISARIO DOMINGUEZ 1568</t>
  </si>
  <si>
    <t>STA ELENA</t>
  </si>
  <si>
    <t>PAULA NOVELA GALVAN</t>
  </si>
  <si>
    <t>RODRIGUEZ NEGRETE IRENE</t>
  </si>
  <si>
    <t>( OCHOCIENTOS PESOS 00/100 M.N.)</t>
  </si>
  <si>
    <t>JESUS SIERRA RODRIGUEZ</t>
  </si>
  <si>
    <t>MARIA JUANA NEGRETE FLORES</t>
  </si>
  <si>
    <t>FERNANDO MONTES DE OCA No. 395</t>
  </si>
  <si>
    <t>RUIZ RUELAS KATIA ELIZABETH</t>
  </si>
  <si>
    <t>RURK950526</t>
  </si>
  <si>
    <t>RURK950526MCMZLT05</t>
  </si>
  <si>
    <t>DAVID RUIZ MEDINA</t>
  </si>
  <si>
    <t>CATALINA RUELAS INFNATE</t>
  </si>
  <si>
    <t>NIÑO ARTILLERO No. 174</t>
  </si>
  <si>
    <t>SOR JUANA</t>
  </si>
  <si>
    <t>(UN MIL DOSCIENTOS CINCUENTA PESOS 00/100 M.N.)</t>
  </si>
  <si>
    <t>MALDONADO MENDOZA GEOVANY ALEJANDRO</t>
  </si>
  <si>
    <t>( DOS MIL PESOS 00/100 M.N.)</t>
  </si>
  <si>
    <t>MAMG930726</t>
  </si>
  <si>
    <t>MAMG930726HCMLNV01</t>
  </si>
  <si>
    <t>MA GUADALUPE MALDONADO MENDOZA</t>
  </si>
  <si>
    <t>ANTONIO CASO No. 173</t>
  </si>
  <si>
    <t xml:space="preserve">LLANOS DE SAN JOSE </t>
  </si>
  <si>
    <t>ENRIQUET MANZO GUDIÑO</t>
  </si>
  <si>
    <t>V. CARRANZA No. 15</t>
  </si>
  <si>
    <t>ARIAS LLERENAS LIDIA ARTEMISA</t>
  </si>
  <si>
    <t>AILL8007099Z9</t>
  </si>
  <si>
    <t>AILL800709MCMRLD09</t>
  </si>
  <si>
    <t>ARTEMIO ARIAS RIOS</t>
  </si>
  <si>
    <t>YOLANDA LLERENAS VIRGEN</t>
  </si>
  <si>
    <t>GOMEZ FARIAS No. 290</t>
  </si>
  <si>
    <t>JOSE GPE HERNANDEZ CALDERON</t>
  </si>
  <si>
    <t>LOPEZ MARTINEZ JOSE ANGEL</t>
  </si>
  <si>
    <t>LOMA681001HJCPRN04</t>
  </si>
  <si>
    <t>LOMA681001</t>
  </si>
  <si>
    <t>BENITO JUAREZ No. 70</t>
  </si>
  <si>
    <t>MA. ESTHER ZUNO DE ECHEVERRIA</t>
  </si>
  <si>
    <t>GALVEZ JURADO ANDRES MISAEL</t>
  </si>
  <si>
    <t>(NOVECIENTOS PESOS 00/100 M.N.)</t>
  </si>
  <si>
    <t>GAJA940528HCMLRN05</t>
  </si>
  <si>
    <t xml:space="preserve">JOSE GALVEZ </t>
  </si>
  <si>
    <t>MA. DEL ROCIO JURADO VAZQUEZ</t>
  </si>
  <si>
    <t>GREGORIO ZUÑIGA SUR No. 119</t>
  </si>
  <si>
    <t>LA UNION SUR</t>
  </si>
  <si>
    <t>MARIAN CAMARENA VERDUZCO</t>
  </si>
  <si>
    <t>02-049273</t>
  </si>
  <si>
    <t>JIMENEZ LOPEZ EDUARDO</t>
  </si>
  <si>
    <t>JILE911223</t>
  </si>
  <si>
    <t>JILE911223HCMMPD01</t>
  </si>
  <si>
    <t>J JESUS JIMENEZ GARCIA</t>
  </si>
  <si>
    <t>MA SAGRARIO LOPEZ CISNEROS</t>
  </si>
  <si>
    <t>RIO SOTO LA MARINA No. 134</t>
  </si>
  <si>
    <t>DOLORES MATILDE VALDIVIA</t>
  </si>
  <si>
    <t>MENDOZA LARIOS JOSE GUADALUPE</t>
  </si>
  <si>
    <t>MELG890510JQ9</t>
  </si>
  <si>
    <t>MELG890510HCMNRD08</t>
  </si>
  <si>
    <t>LUCIANO MENDOZA GAZPAR</t>
  </si>
  <si>
    <t>VIRGINIA LARIOS FLORES</t>
  </si>
  <si>
    <t>LEONARDO JARAMILLO No. 244</t>
  </si>
  <si>
    <t>INDEPENDENCIA</t>
  </si>
  <si>
    <t>JANETH A. ROSALES ZUÑIGA</t>
  </si>
  <si>
    <t>ROMERO SAUCEDO JONATHAN</t>
  </si>
  <si>
    <t>(UN MIL PESOS 00/100 M.N.)</t>
  </si>
  <si>
    <t>ROSJ940620</t>
  </si>
  <si>
    <t>ROSJ940620HCMMCN09</t>
  </si>
  <si>
    <t>CARLOS ROMERO OLIVARES</t>
  </si>
  <si>
    <t>DULCE SAUCEDO ROMERO</t>
  </si>
  <si>
    <t>ZARAGOZA No. 659</t>
  </si>
  <si>
    <t>GOVEA NUÑEZ ANGEL ALEJANDRO</t>
  </si>
  <si>
    <t>GONA931101</t>
  </si>
  <si>
    <t>GONA931101HCMVXN05</t>
  </si>
  <si>
    <t>RAFAEL GOVEA PABLO</t>
  </si>
  <si>
    <t>ALEJANDRA NUÑEZ TORRES</t>
  </si>
  <si>
    <t>JAZMIN No. 7</t>
  </si>
  <si>
    <t>MAGALLON GARCIA CHRISTIAN RAMON</t>
  </si>
  <si>
    <t>(DOS MIL PESOS 00/100 M.N.)</t>
  </si>
  <si>
    <t>AUX. SISTEMAS</t>
  </si>
  <si>
    <t>MAGC900805</t>
  </si>
  <si>
    <t>MAGC900805HCMGRH04</t>
  </si>
  <si>
    <t>COQUIMATLAN</t>
  </si>
  <si>
    <t>ANTONIO MAGALLON PALACIOS</t>
  </si>
  <si>
    <t>MA. DE LA LUZ GARCIA MONJES</t>
  </si>
  <si>
    <t>VENUSTIANO CARRANZA No. 107</t>
  </si>
  <si>
    <t>PEREZ VEGA PAOLA GUADALUPE</t>
  </si>
  <si>
    <t>ALMACEN</t>
  </si>
  <si>
    <t>ETIQUETADORA</t>
  </si>
  <si>
    <t>PEVP960314</t>
  </si>
  <si>
    <t>PEVP960314MCMRGL00</t>
  </si>
  <si>
    <t>SANCHEZ VALENCIA HUMBERTO</t>
  </si>
  <si>
    <t>(UN MIL SETECIENTOS CINCUENTA PESOS 00/100 M.N.)</t>
  </si>
  <si>
    <t>AUX. EN COMPRAS</t>
  </si>
  <si>
    <t>SAVH9105263K0</t>
  </si>
  <si>
    <t>SAVH910526HCMNLM06</t>
  </si>
  <si>
    <t>JOSE JAIME SANCHEZ ROMO</t>
  </si>
  <si>
    <t>LOURDES EUGENIA VALENCIA GONZALEZ</t>
  </si>
  <si>
    <t>DR. ATL No. 31</t>
  </si>
  <si>
    <t>JARDINES DE VISTA HERMOSA</t>
  </si>
  <si>
    <t>MITZI DE LOURDES BALTAZAR SANDOVAL</t>
  </si>
  <si>
    <t>GOMEZ HERNANDEZ GERMAN HAZAEL</t>
  </si>
  <si>
    <t>(UN MIL QUINIENTOS PESOS 00/100 M.N.)</t>
  </si>
  <si>
    <t>INVENTARIOS</t>
  </si>
  <si>
    <t>GOHG930403</t>
  </si>
  <si>
    <t>GOHG930403HDFMRR06</t>
  </si>
  <si>
    <t>D.F.</t>
  </si>
  <si>
    <t>GERMAN GOMEZ PEREZ</t>
  </si>
  <si>
    <t>GUADALUPE HERNANDEZ SOSA</t>
  </si>
  <si>
    <t>VOLCAN DE COLIMA No. 118</t>
  </si>
  <si>
    <t xml:space="preserve">LA FLORESTA  </t>
  </si>
  <si>
    <t>SOFIA ALEJANDRA JIMENEZ MORENO</t>
  </si>
  <si>
    <t>GONGORA HERNANDEZ AXEL JOSUE</t>
  </si>
  <si>
    <t>AUX. DE ALMACEN</t>
  </si>
  <si>
    <t>GOHA950121U21</t>
  </si>
  <si>
    <t>GOHA950121HCMNRX03</t>
  </si>
  <si>
    <t>AXEL ORLANDO GONGORA ESTRADA</t>
  </si>
  <si>
    <t>SAYURI BELEN HERNANDEZ SANCHEZ</t>
  </si>
  <si>
    <t>GREGORIO ZUÑIGA No. 510</t>
  </si>
  <si>
    <t>GUTIERREZ GUZMAN MARCO ANTONIO</t>
  </si>
  <si>
    <t>GUGM9703117S2</t>
  </si>
  <si>
    <t>GUGM970311HCMTZR00</t>
  </si>
  <si>
    <t>HECTOR MANUEL GUTIERREZ SAUCEDO</t>
  </si>
  <si>
    <t>JUANA LETICIA GUZMAN GONZALEZ</t>
  </si>
  <si>
    <t>RIO MANRIQUE No. 107</t>
  </si>
  <si>
    <t>AVALOS GUTIERREZ GLADIS BERENICE</t>
  </si>
  <si>
    <t>AAGG870127</t>
  </si>
  <si>
    <t>AAGG870127MCMVTL02</t>
  </si>
  <si>
    <t>LUIS AVALOS RESENDIZ</t>
  </si>
  <si>
    <t>MA. DEL CARMEN GUTIERREZ VAZQUEZ</t>
  </si>
  <si>
    <t>AND. REGIDORES No. 3</t>
  </si>
  <si>
    <t>ARIAS ROMERO SILVIA GRISELDA</t>
  </si>
  <si>
    <t>AIRS9508302WA</t>
  </si>
  <si>
    <t>AIRS950830MCMRML09</t>
  </si>
  <si>
    <t>EDUARDO ARIAS LOPEZ</t>
  </si>
  <si>
    <t>ELVIRA ROMERO VERDUZCO</t>
  </si>
  <si>
    <t>MERCURIO No. 680</t>
  </si>
  <si>
    <t>LOPEZ GOMEZ PAVEL RICARDO</t>
  </si>
  <si>
    <t>AYUDANTE GENERAL</t>
  </si>
  <si>
    <t>LOGP980126</t>
  </si>
  <si>
    <t>LOGP980126HCMPMV00</t>
  </si>
  <si>
    <t>JOSE GUADALUPE LOPEZ VARGAS</t>
  </si>
  <si>
    <t>MARIA GOMEZ CARRILLO</t>
  </si>
  <si>
    <t>PALMA CHINA No. 709</t>
  </si>
  <si>
    <t>CITLALI GUADALUPE</t>
  </si>
  <si>
    <t>QUEZADA ROMERO JOSE LUIS</t>
  </si>
  <si>
    <t>(UN MIL TRESCIENTOS PESOS 00/100 M.N.)</t>
  </si>
  <si>
    <t>QURL891114GE1</t>
  </si>
  <si>
    <t>QURL891114HCMZMS09</t>
  </si>
  <si>
    <t>JOSE LUIS QUEZADA MONTIEL</t>
  </si>
  <si>
    <t>NORMA DE JESUS ROMERO RODRIGUEZ</t>
  </si>
  <si>
    <t>AND.8 No. 130</t>
  </si>
  <si>
    <t>JAL0053054</t>
  </si>
  <si>
    <t>DIAZ MEZA ANA LIDIA</t>
  </si>
  <si>
    <t>VENDEDORA</t>
  </si>
  <si>
    <t>DIMA780410</t>
  </si>
  <si>
    <t>DIMA780410MJCZZN08</t>
  </si>
  <si>
    <t>JOSE DIAZ RAMOS</t>
  </si>
  <si>
    <t>TOMASA MEZA GRANO</t>
  </si>
  <si>
    <t>MA. ISABEL VERDUGO No. 162</t>
  </si>
  <si>
    <t>J. JESUS PEREZ MEDINA</t>
  </si>
  <si>
    <t>CLEMENTE MARCIAL ALEJANDRO</t>
  </si>
  <si>
    <t>AYUDANTE DE ALMACEN</t>
  </si>
  <si>
    <t>CEMA871009</t>
  </si>
  <si>
    <t>CEMA871009HJCLRL07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</si>
</sst>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0\ &quot;Pts&quot;_-;\-* #,##0.00\ &quot;Pts&quot;_-;_-* &quot;-&quot;??\ &quot;Pts&quot;_-;_-@_-"/>
    <numFmt numFmtId="165" formatCode="_-* #,##0.00\ _P_t_s_-;\-* #,##0.00\ _P_t_s_-;_-* &quot;-&quot;??\ _P_t_s_-;_-@_-"/>
    <numFmt numFmtId="166" formatCode="_-* #,##0_-;\-* #,##0_-;_-* &quot;-&quot;??_-;_-@_-"/>
    <numFmt numFmtId="167" formatCode="dd/mm/yyyy;@"/>
    <numFmt numFmtId="168" formatCode="_-* #,##0.0000\ _P_t_s_-;\-* #,##0.0000\ _P_t_s_-;_-* &quot;-&quot;??\ _P_t_s_-;_-@_-"/>
    <numFmt numFmtId="169" formatCode="_-* #,##0\ _P_t_s_-;\-* #,##0\ _P_t_s_-;_-* &quot;-&quot;??\ _P_t_s_-;_-@_-"/>
    <numFmt numFmtId="170" formatCode="_-[$$-80A]* #,##0.00_-;\-[$$-80A]* #,##0.00_-;_-[$$-80A]* &quot;-&quot;??_-;_-@_-"/>
  </numFmts>
  <fonts count="19" x14ac:knownFonts="1">
    <font>
      <sz val="10"/>
      <name val="Arial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alibri"/>
      <family val="2"/>
    </font>
    <font>
      <sz val="8"/>
      <name val="Arial"/>
      <family val="2"/>
    </font>
    <font>
      <sz val="11"/>
      <name val="Calibri"/>
      <family val="2"/>
    </font>
    <font>
      <b/>
      <sz val="10"/>
      <name val="Calibri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17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8" fillId="0" borderId="0"/>
    <xf numFmtId="165" fontId="1" fillId="0" borderId="0" applyFont="0" applyFill="0" applyBorder="0" applyAlignment="0" applyProtection="0"/>
    <xf numFmtId="170" fontId="18" fillId="0" borderId="0"/>
  </cellStyleXfs>
  <cellXfs count="199">
    <xf numFmtId="170" fontId="0" fillId="0" borderId="0" xfId="0"/>
    <xf numFmtId="170" fontId="4" fillId="0" borderId="0" xfId="0" applyFont="1" applyAlignment="1">
      <alignment horizontal="center"/>
    </xf>
    <xf numFmtId="170" fontId="4" fillId="0" borderId="0" xfId="0" applyFont="1"/>
    <xf numFmtId="170" fontId="4" fillId="2" borderId="1" xfId="0" applyFont="1" applyFill="1" applyBorder="1" applyAlignment="1">
      <alignment horizontal="center" wrapText="1"/>
    </xf>
    <xf numFmtId="170" fontId="4" fillId="0" borderId="0" xfId="0" applyNumberFormat="1" applyFont="1"/>
    <xf numFmtId="170" fontId="4" fillId="2" borderId="1" xfId="0" applyNumberFormat="1" applyFont="1" applyFill="1" applyBorder="1" applyAlignment="1">
      <alignment horizontal="center" wrapText="1"/>
    </xf>
    <xf numFmtId="170" fontId="4" fillId="0" borderId="0" xfId="0" applyFont="1" applyFill="1"/>
    <xf numFmtId="170" fontId="4" fillId="0" borderId="0" xfId="0" applyNumberFormat="1" applyFont="1" applyFill="1"/>
    <xf numFmtId="170" fontId="4" fillId="0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 wrapText="1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170" fontId="4" fillId="0" borderId="0" xfId="0" applyNumberFormat="1" applyFont="1"/>
    <xf numFmtId="167" fontId="4" fillId="2" borderId="1" xfId="0" applyNumberFormat="1" applyFont="1" applyFill="1" applyBorder="1" applyAlignment="1">
      <alignment horizontal="center" wrapText="1"/>
    </xf>
    <xf numFmtId="167" fontId="4" fillId="0" borderId="0" xfId="0" applyNumberFormat="1" applyFont="1" applyFill="1"/>
    <xf numFmtId="167" fontId="4" fillId="0" borderId="0" xfId="0" applyNumberFormat="1" applyFont="1"/>
    <xf numFmtId="170" fontId="4" fillId="0" borderId="0" xfId="0" applyNumberFormat="1" applyFont="1" applyFill="1"/>
    <xf numFmtId="165" fontId="4" fillId="0" borderId="0" xfId="1" applyFont="1" applyFill="1" applyBorder="1" applyAlignment="1">
      <alignment wrapText="1"/>
    </xf>
    <xf numFmtId="170" fontId="4" fillId="0" borderId="0" xfId="0" applyFont="1" applyProtection="1"/>
    <xf numFmtId="164" fontId="4" fillId="0" borderId="0" xfId="2" applyFont="1" applyProtection="1"/>
    <xf numFmtId="170" fontId="6" fillId="0" borderId="2" xfId="0" applyFont="1" applyBorder="1" applyAlignment="1" applyProtection="1">
      <alignment horizontal="center"/>
    </xf>
    <xf numFmtId="170" fontId="6" fillId="0" borderId="3" xfId="0" applyFont="1" applyBorder="1" applyAlignment="1" applyProtection="1">
      <alignment horizontal="center"/>
    </xf>
    <xf numFmtId="170" fontId="6" fillId="0" borderId="4" xfId="0" applyFont="1" applyBorder="1" applyAlignment="1" applyProtection="1">
      <alignment horizontal="center"/>
    </xf>
    <xf numFmtId="9" fontId="6" fillId="0" borderId="0" xfId="3" applyFont="1" applyFill="1" applyBorder="1" applyAlignment="1" applyProtection="1">
      <alignment horizontal="center"/>
    </xf>
    <xf numFmtId="170" fontId="4" fillId="0" borderId="0" xfId="0" applyFont="1" applyAlignment="1" applyProtection="1">
      <alignment horizontal="center"/>
    </xf>
    <xf numFmtId="166" fontId="6" fillId="0" borderId="1" xfId="1" applyNumberFormat="1" applyFont="1" applyBorder="1" applyProtection="1"/>
    <xf numFmtId="166" fontId="6" fillId="0" borderId="10" xfId="1" applyNumberFormat="1" applyFont="1" applyBorder="1" applyProtection="1"/>
    <xf numFmtId="43" fontId="4" fillId="0" borderId="0" xfId="0" applyNumberFormat="1" applyFont="1" applyProtection="1"/>
    <xf numFmtId="166" fontId="6" fillId="0" borderId="1" xfId="1" applyNumberFormat="1" applyFont="1" applyFill="1" applyBorder="1" applyProtection="1"/>
    <xf numFmtId="166" fontId="4" fillId="0" borderId="0" xfId="0" applyNumberFormat="1" applyFont="1" applyAlignment="1" applyProtection="1">
      <alignment horizontal="center"/>
    </xf>
    <xf numFmtId="166" fontId="4" fillId="0" borderId="0" xfId="1" applyNumberFormat="1" applyFont="1" applyAlignment="1" applyProtection="1">
      <alignment horizontal="center"/>
    </xf>
    <xf numFmtId="166" fontId="4" fillId="0" borderId="0" xfId="1" applyNumberFormat="1" applyFont="1" applyProtection="1"/>
    <xf numFmtId="166" fontId="6" fillId="0" borderId="10" xfId="0" applyNumberFormat="1" applyFont="1" applyBorder="1" applyProtection="1"/>
    <xf numFmtId="166" fontId="6" fillId="0" borderId="12" xfId="0" applyNumberFormat="1" applyFont="1" applyBorder="1" applyProtection="1"/>
    <xf numFmtId="166" fontId="4" fillId="0" borderId="0" xfId="0" applyNumberFormat="1" applyFont="1" applyProtection="1"/>
    <xf numFmtId="165" fontId="4" fillId="0" borderId="0" xfId="1" applyFont="1"/>
    <xf numFmtId="168" fontId="4" fillId="0" borderId="0" xfId="1" applyNumberFormat="1" applyFont="1"/>
    <xf numFmtId="165" fontId="4" fillId="2" borderId="1" xfId="1" applyFont="1" applyFill="1" applyBorder="1" applyAlignment="1">
      <alignment horizontal="center" wrapText="1"/>
    </xf>
    <xf numFmtId="168" fontId="4" fillId="0" borderId="0" xfId="1" applyNumberFormat="1" applyFont="1" applyFill="1" applyBorder="1" applyAlignment="1">
      <alignment wrapText="1"/>
    </xf>
    <xf numFmtId="168" fontId="4" fillId="0" borderId="0" xfId="1" applyNumberFormat="1" applyFont="1" applyFill="1"/>
    <xf numFmtId="167" fontId="4" fillId="0" borderId="0" xfId="1" applyNumberFormat="1" applyFont="1" applyFill="1" applyBorder="1" applyAlignment="1">
      <alignment wrapText="1"/>
    </xf>
    <xf numFmtId="14" fontId="4" fillId="3" borderId="13" xfId="0" applyNumberFormat="1" applyFont="1" applyFill="1" applyBorder="1" applyAlignment="1"/>
    <xf numFmtId="165" fontId="4" fillId="0" borderId="0" xfId="1" applyFont="1" applyBorder="1" applyAlignment="1">
      <alignment horizontal="center"/>
    </xf>
    <xf numFmtId="165" fontId="4" fillId="3" borderId="14" xfId="1" applyFont="1" applyFill="1" applyBorder="1" applyAlignment="1">
      <alignment horizontal="center" wrapText="1"/>
    </xf>
    <xf numFmtId="168" fontId="4" fillId="3" borderId="1" xfId="1" applyNumberFormat="1" applyFont="1" applyFill="1" applyBorder="1" applyAlignment="1">
      <alignment horizontal="center" wrapText="1"/>
    </xf>
    <xf numFmtId="168" fontId="7" fillId="2" borderId="1" xfId="1" applyNumberFormat="1" applyFont="1" applyFill="1" applyBorder="1" applyAlignment="1">
      <alignment horizontal="center" vertical="center" wrapText="1"/>
    </xf>
    <xf numFmtId="9" fontId="7" fillId="2" borderId="1" xfId="3" applyFont="1" applyFill="1" applyBorder="1" applyAlignment="1">
      <alignment horizontal="center" vertical="center" wrapText="1"/>
    </xf>
    <xf numFmtId="170" fontId="7" fillId="2" borderId="1" xfId="1" applyNumberFormat="1" applyFont="1" applyFill="1" applyBorder="1" applyAlignment="1">
      <alignment horizontal="center" vertical="center" wrapText="1"/>
    </xf>
    <xf numFmtId="168" fontId="4" fillId="0" borderId="0" xfId="1" applyNumberFormat="1" applyFont="1" applyFill="1" applyAlignment="1">
      <alignment horizontal="center"/>
    </xf>
    <xf numFmtId="165" fontId="4" fillId="0" borderId="0" xfId="1" applyFont="1" applyAlignment="1">
      <alignment horizontal="center"/>
    </xf>
    <xf numFmtId="165" fontId="4" fillId="0" borderId="0" xfId="1" applyFont="1" applyFill="1" applyBorder="1" applyAlignment="1">
      <alignment horizontal="center" wrapText="1"/>
    </xf>
    <xf numFmtId="14" fontId="4" fillId="0" borderId="0" xfId="0" applyNumberFormat="1" applyFont="1" applyFill="1"/>
    <xf numFmtId="169" fontId="4" fillId="0" borderId="0" xfId="1" applyNumberFormat="1" applyFont="1" applyFill="1"/>
    <xf numFmtId="169" fontId="4" fillId="0" borderId="0" xfId="1" applyNumberFormat="1" applyFont="1"/>
    <xf numFmtId="165" fontId="4" fillId="3" borderId="1" xfId="1" applyFont="1" applyFill="1" applyBorder="1" applyAlignment="1">
      <alignment horizontal="center"/>
    </xf>
    <xf numFmtId="165" fontId="4" fillId="0" borderId="0" xfId="1" applyFont="1" applyAlignment="1"/>
    <xf numFmtId="170" fontId="4" fillId="2" borderId="1" xfId="0" applyNumberFormat="1" applyFont="1" applyFill="1" applyBorder="1" applyAlignment="1">
      <alignment horizontal="center" wrapText="1"/>
    </xf>
    <xf numFmtId="2" fontId="4" fillId="0" borderId="0" xfId="0" applyNumberFormat="1" applyFont="1" applyProtection="1"/>
    <xf numFmtId="166" fontId="6" fillId="0" borderId="0" xfId="0" applyNumberFormat="1" applyFont="1" applyBorder="1" applyProtection="1"/>
    <xf numFmtId="49" fontId="4" fillId="0" borderId="0" xfId="1" applyNumberFormat="1" applyFont="1" applyAlignment="1">
      <alignment horizontal="center"/>
    </xf>
    <xf numFmtId="170" fontId="4" fillId="3" borderId="1" xfId="0" applyFont="1" applyFill="1" applyBorder="1" applyAlignment="1">
      <alignment horizontal="center" wrapText="1"/>
    </xf>
    <xf numFmtId="170" fontId="4" fillId="0" borderId="0" xfId="0" applyNumberFormat="1" applyFont="1" applyFill="1" applyAlignment="1">
      <alignment horizontal="center"/>
    </xf>
    <xf numFmtId="170" fontId="4" fillId="0" borderId="0" xfId="0" applyNumberFormat="1" applyFont="1" applyAlignment="1">
      <alignment horizontal="center"/>
    </xf>
    <xf numFmtId="170" fontId="4" fillId="3" borderId="1" xfId="0" applyNumberFormat="1" applyFont="1" applyFill="1" applyBorder="1" applyAlignment="1">
      <alignment horizontal="center" wrapText="1"/>
    </xf>
    <xf numFmtId="169" fontId="4" fillId="3" borderId="1" xfId="1" applyNumberFormat="1" applyFont="1" applyFill="1" applyBorder="1" applyAlignment="1">
      <alignment horizontal="center" wrapText="1"/>
    </xf>
    <xf numFmtId="170" fontId="4" fillId="6" borderId="0" xfId="0" applyFont="1" applyFill="1" applyAlignment="1">
      <alignment wrapText="1"/>
    </xf>
    <xf numFmtId="170" fontId="4" fillId="6" borderId="0" xfId="0" applyFont="1" applyFill="1"/>
    <xf numFmtId="170" fontId="4" fillId="0" borderId="0" xfId="0" applyNumberFormat="1" applyFont="1" applyFill="1" applyAlignment="1">
      <alignment horizontal="left"/>
    </xf>
    <xf numFmtId="170" fontId="4" fillId="0" borderId="0" xfId="0" applyNumberFormat="1" applyFont="1" applyFill="1" applyAlignment="1">
      <alignment horizontal="left"/>
    </xf>
    <xf numFmtId="170" fontId="4" fillId="0" borderId="0" xfId="0" applyNumberFormat="1" applyFont="1" applyAlignment="1">
      <alignment horizontal="left"/>
    </xf>
    <xf numFmtId="170" fontId="4" fillId="4" borderId="1" xfId="0" applyNumberFormat="1" applyFont="1" applyFill="1" applyBorder="1" applyAlignment="1">
      <alignment horizontal="left" wrapText="1"/>
    </xf>
    <xf numFmtId="49" fontId="4" fillId="0" borderId="0" xfId="0" applyNumberFormat="1" applyFont="1" applyAlignment="1">
      <alignment horizontal="left"/>
    </xf>
    <xf numFmtId="170" fontId="4" fillId="4" borderId="1" xfId="0" applyFont="1" applyFill="1" applyBorder="1" applyAlignment="1">
      <alignment horizontal="center" wrapText="1"/>
    </xf>
    <xf numFmtId="4" fontId="4" fillId="0" borderId="0" xfId="0" applyNumberFormat="1" applyFont="1" applyFill="1"/>
    <xf numFmtId="170" fontId="4" fillId="0" borderId="0" xfId="2" applyNumberFormat="1" applyFont="1" applyProtection="1"/>
    <xf numFmtId="44" fontId="4" fillId="0" borderId="0" xfId="2" applyNumberFormat="1" applyFont="1" applyProtection="1"/>
    <xf numFmtId="166" fontId="6" fillId="0" borderId="1" xfId="1" applyNumberFormat="1" applyFont="1" applyFill="1" applyBorder="1" applyAlignment="1" applyProtection="1">
      <alignment horizontal="center"/>
    </xf>
    <xf numFmtId="170" fontId="6" fillId="10" borderId="1" xfId="0" applyFont="1" applyFill="1" applyBorder="1" applyAlignment="1" applyProtection="1">
      <alignment horizontal="center"/>
    </xf>
    <xf numFmtId="170" fontId="10" fillId="8" borderId="6" xfId="0" applyFont="1" applyFill="1" applyBorder="1" applyAlignment="1" applyProtection="1">
      <alignment horizontal="center" wrapText="1"/>
    </xf>
    <xf numFmtId="170" fontId="10" fillId="8" borderId="7" xfId="0" applyFont="1" applyFill="1" applyBorder="1" applyAlignment="1" applyProtection="1">
      <alignment horizontal="center" wrapText="1"/>
    </xf>
    <xf numFmtId="170" fontId="11" fillId="8" borderId="7" xfId="0" applyFont="1" applyFill="1" applyBorder="1" applyAlignment="1" applyProtection="1">
      <alignment horizontal="center" wrapText="1"/>
    </xf>
    <xf numFmtId="170" fontId="10" fillId="10" borderId="7" xfId="0" applyFont="1" applyFill="1" applyBorder="1" applyAlignment="1" applyProtection="1">
      <alignment horizontal="center" wrapText="1"/>
    </xf>
    <xf numFmtId="170" fontId="10" fillId="10" borderId="8" xfId="0" applyFont="1" applyFill="1" applyBorder="1" applyAlignment="1" applyProtection="1">
      <alignment horizontal="center" wrapText="1"/>
    </xf>
    <xf numFmtId="10" fontId="9" fillId="11" borderId="5" xfId="3" applyNumberFormat="1" applyFont="1" applyFill="1" applyBorder="1" applyAlignment="1" applyProtection="1">
      <alignment horizontal="center"/>
    </xf>
    <xf numFmtId="166" fontId="12" fillId="12" borderId="9" xfId="1" applyNumberFormat="1" applyFont="1" applyFill="1" applyBorder="1" applyAlignment="1" applyProtection="1">
      <alignment horizontal="justify"/>
    </xf>
    <xf numFmtId="9" fontId="12" fillId="12" borderId="1" xfId="3" applyFont="1" applyFill="1" applyBorder="1" applyAlignment="1" applyProtection="1">
      <alignment horizontal="center"/>
    </xf>
    <xf numFmtId="170" fontId="9" fillId="12" borderId="9" xfId="0" applyFont="1" applyFill="1" applyBorder="1" applyAlignment="1" applyProtection="1">
      <alignment horizontal="center"/>
    </xf>
    <xf numFmtId="170" fontId="9" fillId="12" borderId="10" xfId="0" applyFont="1" applyFill="1" applyBorder="1" applyAlignment="1" applyProtection="1">
      <alignment horizontal="center"/>
    </xf>
    <xf numFmtId="170" fontId="4" fillId="3" borderId="14" xfId="1" applyNumberFormat="1" applyFont="1" applyFill="1" applyBorder="1" applyAlignment="1">
      <alignment horizontal="center" wrapText="1"/>
    </xf>
    <xf numFmtId="49" fontId="4" fillId="2" borderId="14" xfId="0" applyNumberFormat="1" applyFont="1" applyFill="1" applyBorder="1" applyAlignment="1">
      <alignment horizontal="center" wrapText="1"/>
    </xf>
    <xf numFmtId="170" fontId="4" fillId="3" borderId="14" xfId="0" applyFont="1" applyFill="1" applyBorder="1" applyAlignment="1">
      <alignment horizontal="center" wrapText="1"/>
    </xf>
    <xf numFmtId="170" fontId="4" fillId="2" borderId="14" xfId="0" applyFont="1" applyFill="1" applyBorder="1" applyAlignment="1">
      <alignment horizontal="center" wrapText="1"/>
    </xf>
    <xf numFmtId="170" fontId="13" fillId="0" borderId="0" xfId="0" applyFont="1" applyFill="1" applyBorder="1" applyAlignment="1">
      <alignment horizontal="center" wrapText="1"/>
    </xf>
    <xf numFmtId="170" fontId="4" fillId="0" borderId="0" xfId="0" applyFont="1" applyFill="1" applyBorder="1" applyAlignment="1" applyProtection="1">
      <alignment horizontal="center"/>
    </xf>
    <xf numFmtId="170" fontId="13" fillId="13" borderId="0" xfId="0" applyFont="1" applyFill="1" applyBorder="1" applyAlignment="1">
      <alignment horizontal="center" wrapText="1"/>
    </xf>
    <xf numFmtId="170" fontId="14" fillId="13" borderId="0" xfId="0" applyFont="1" applyFill="1" applyBorder="1" applyAlignment="1">
      <alignment horizontal="center" wrapText="1"/>
    </xf>
    <xf numFmtId="170" fontId="15" fillId="13" borderId="0" xfId="0" applyFont="1" applyFill="1" applyBorder="1" applyAlignment="1">
      <alignment wrapText="1"/>
    </xf>
    <xf numFmtId="49" fontId="4" fillId="2" borderId="14" xfId="0" applyNumberFormat="1" applyFont="1" applyFill="1" applyBorder="1" applyAlignment="1">
      <alignment horizontal="left" wrapText="1"/>
    </xf>
    <xf numFmtId="170" fontId="15" fillId="13" borderId="0" xfId="0" applyNumberFormat="1" applyFont="1" applyFill="1" applyBorder="1" applyAlignment="1">
      <alignment horizontal="center" wrapText="1"/>
    </xf>
    <xf numFmtId="170" fontId="16" fillId="13" borderId="0" xfId="0" applyNumberFormat="1" applyFont="1" applyFill="1" applyBorder="1" applyAlignment="1">
      <alignment horizontal="center" wrapText="1"/>
    </xf>
    <xf numFmtId="170" fontId="4" fillId="4" borderId="14" xfId="0" applyFont="1" applyFill="1" applyBorder="1" applyAlignment="1">
      <alignment horizontal="center" wrapText="1"/>
    </xf>
    <xf numFmtId="170" fontId="4" fillId="0" borderId="0" xfId="0" applyFont="1" applyBorder="1"/>
    <xf numFmtId="170" fontId="1" fillId="0" borderId="0" xfId="0" applyFont="1" applyBorder="1"/>
    <xf numFmtId="170" fontId="16" fillId="0" borderId="0" xfId="0" applyFont="1" applyBorder="1"/>
    <xf numFmtId="170" fontId="16" fillId="0" borderId="0" xfId="0" applyFont="1" applyFill="1" applyBorder="1" applyAlignment="1">
      <alignment wrapText="1"/>
    </xf>
    <xf numFmtId="170" fontId="13" fillId="0" borderId="0" xfId="0" applyFont="1" applyFill="1" applyBorder="1" applyAlignment="1"/>
    <xf numFmtId="170" fontId="14" fillId="0" borderId="0" xfId="0" applyFont="1" applyFill="1" applyBorder="1" applyAlignment="1"/>
    <xf numFmtId="14" fontId="4" fillId="0" borderId="0" xfId="0" applyNumberFormat="1" applyFont="1"/>
    <xf numFmtId="41" fontId="4" fillId="2" borderId="1" xfId="0" applyNumberFormat="1" applyFont="1" applyFill="1" applyBorder="1" applyAlignment="1">
      <alignment horizontal="center" vertical="center" wrapText="1"/>
    </xf>
    <xf numFmtId="41" fontId="4" fillId="0" borderId="0" xfId="1" applyNumberFormat="1" applyFont="1" applyFill="1" applyAlignment="1">
      <alignment horizontal="center" vertical="center"/>
    </xf>
    <xf numFmtId="41" fontId="4" fillId="0" borderId="0" xfId="1" applyNumberFormat="1" applyFont="1" applyAlignment="1">
      <alignment horizontal="center" vertical="center"/>
    </xf>
    <xf numFmtId="44" fontId="9" fillId="12" borderId="10" xfId="0" applyNumberFormat="1" applyFont="1" applyFill="1" applyBorder="1" applyAlignment="1" applyProtection="1">
      <alignment horizontal="center"/>
    </xf>
    <xf numFmtId="170" fontId="15" fillId="0" borderId="1" xfId="0" applyFont="1" applyBorder="1"/>
    <xf numFmtId="170" fontId="15" fillId="0" borderId="1" xfId="0" applyFont="1" applyFill="1" applyBorder="1"/>
    <xf numFmtId="170" fontId="15" fillId="10" borderId="1" xfId="0" applyFont="1" applyFill="1" applyBorder="1"/>
    <xf numFmtId="170" fontId="15" fillId="9" borderId="1" xfId="0" applyFont="1" applyFill="1" applyBorder="1"/>
    <xf numFmtId="170" fontId="15" fillId="12" borderId="1" xfId="0" applyFont="1" applyFill="1" applyBorder="1"/>
    <xf numFmtId="170" fontId="15" fillId="7" borderId="1" xfId="0" applyFont="1" applyFill="1" applyBorder="1"/>
    <xf numFmtId="170" fontId="15" fillId="16" borderId="1" xfId="0" applyFont="1" applyFill="1" applyBorder="1"/>
    <xf numFmtId="170" fontId="15" fillId="15" borderId="1" xfId="0" applyFont="1" applyFill="1" applyBorder="1"/>
    <xf numFmtId="170" fontId="15" fillId="17" borderId="1" xfId="0" applyFont="1" applyFill="1" applyBorder="1"/>
    <xf numFmtId="166" fontId="6" fillId="14" borderId="1" xfId="1" applyNumberFormat="1" applyFont="1" applyFill="1" applyBorder="1" applyAlignment="1" applyProtection="1">
      <alignment horizontal="center"/>
    </xf>
    <xf numFmtId="166" fontId="6" fillId="14" borderId="1" xfId="1" applyNumberFormat="1" applyFont="1" applyFill="1" applyBorder="1" applyProtection="1"/>
    <xf numFmtId="166" fontId="6" fillId="14" borderId="10" xfId="1" applyNumberFormat="1" applyFont="1" applyFill="1" applyBorder="1" applyProtection="1"/>
    <xf numFmtId="41" fontId="4" fillId="3" borderId="1" xfId="1" applyNumberFormat="1" applyFont="1" applyFill="1" applyBorder="1" applyAlignment="1">
      <alignment horizontal="center" vertical="center" wrapText="1"/>
    </xf>
    <xf numFmtId="41" fontId="4" fillId="0" borderId="0" xfId="1" applyNumberFormat="1" applyFont="1" applyFill="1" applyBorder="1" applyAlignment="1">
      <alignment vertical="center" wrapText="1"/>
    </xf>
    <xf numFmtId="41" fontId="4" fillId="0" borderId="0" xfId="1" applyNumberFormat="1" applyFont="1" applyAlignment="1">
      <alignment vertical="center"/>
    </xf>
    <xf numFmtId="170" fontId="4" fillId="0" borderId="0" xfId="1" applyNumberFormat="1" applyFont="1" applyFill="1" applyBorder="1" applyAlignment="1"/>
    <xf numFmtId="170" fontId="17" fillId="0" borderId="1" xfId="0" applyFont="1" applyBorder="1"/>
    <xf numFmtId="170" fontId="17" fillId="0" borderId="1" xfId="0" applyFont="1" applyFill="1" applyBorder="1"/>
    <xf numFmtId="170" fontId="17" fillId="10" borderId="1" xfId="0" applyFont="1" applyFill="1" applyBorder="1"/>
    <xf numFmtId="170" fontId="17" fillId="9" borderId="1" xfId="0" applyFont="1" applyFill="1" applyBorder="1"/>
    <xf numFmtId="170" fontId="17" fillId="12" borderId="1" xfId="0" applyFont="1" applyFill="1" applyBorder="1"/>
    <xf numFmtId="170" fontId="17" fillId="7" borderId="1" xfId="0" applyFont="1" applyFill="1" applyBorder="1"/>
    <xf numFmtId="170" fontId="17" fillId="16" borderId="1" xfId="0" applyFont="1" applyFill="1" applyBorder="1"/>
    <xf numFmtId="170" fontId="17" fillId="15" borderId="1" xfId="0" applyFont="1" applyFill="1" applyBorder="1"/>
    <xf numFmtId="170" fontId="17" fillId="17" borderId="1" xfId="0" applyFont="1" applyFill="1" applyBorder="1"/>
    <xf numFmtId="170" fontId="4" fillId="0" borderId="0" xfId="0" applyFont="1" applyFill="1" applyAlignment="1">
      <alignment vertical="center"/>
    </xf>
    <xf numFmtId="170" fontId="4" fillId="0" borderId="0" xfId="0" applyFont="1" applyAlignment="1">
      <alignment vertical="center"/>
    </xf>
    <xf numFmtId="167" fontId="4" fillId="14" borderId="0" xfId="0" applyNumberFormat="1" applyFont="1" applyFill="1"/>
    <xf numFmtId="170" fontId="1" fillId="0" borderId="0" xfId="0" applyFont="1" applyFill="1" applyBorder="1"/>
    <xf numFmtId="170" fontId="4" fillId="5" borderId="0" xfId="0" applyFont="1" applyFill="1" applyAlignment="1">
      <alignment horizontal="center" vertical="center" wrapText="1"/>
    </xf>
    <xf numFmtId="170" fontId="17" fillId="14" borderId="1" xfId="0" applyFont="1" applyFill="1" applyBorder="1"/>
    <xf numFmtId="170" fontId="15" fillId="0" borderId="0" xfId="0" applyFont="1" applyBorder="1"/>
    <xf numFmtId="170" fontId="17" fillId="14" borderId="23" xfId="0" applyFont="1" applyFill="1" applyBorder="1"/>
    <xf numFmtId="167" fontId="4" fillId="15" borderId="0" xfId="0" applyNumberFormat="1" applyFont="1" applyFill="1"/>
    <xf numFmtId="170" fontId="4" fillId="0" borderId="0" xfId="0" applyNumberFormat="1" applyFont="1" applyFill="1"/>
    <xf numFmtId="170" fontId="9" fillId="12" borderId="9" xfId="0" applyNumberFormat="1" applyFont="1" applyFill="1" applyBorder="1" applyAlignment="1" applyProtection="1">
      <alignment horizontal="center"/>
    </xf>
    <xf numFmtId="170" fontId="6" fillId="0" borderId="9" xfId="0" applyNumberFormat="1" applyFont="1" applyBorder="1" applyAlignment="1" applyProtection="1">
      <alignment horizontal="center"/>
    </xf>
    <xf numFmtId="170" fontId="6" fillId="0" borderId="9" xfId="0" applyNumberFormat="1" applyFont="1" applyFill="1" applyBorder="1" applyAlignment="1" applyProtection="1">
      <alignment horizontal="center"/>
    </xf>
    <xf numFmtId="170" fontId="6" fillId="0" borderId="11" xfId="0" applyNumberFormat="1" applyFont="1" applyFill="1" applyBorder="1" applyAlignment="1" applyProtection="1">
      <alignment horizontal="center"/>
    </xf>
    <xf numFmtId="170" fontId="4" fillId="0" borderId="1" xfId="0" applyNumberFormat="1" applyFont="1" applyFill="1" applyBorder="1" applyAlignment="1">
      <alignment horizontal="center"/>
    </xf>
    <xf numFmtId="170" fontId="4" fillId="0" borderId="1" xfId="1" applyNumberFormat="1" applyFont="1" applyFill="1" applyBorder="1" applyAlignment="1">
      <alignment horizontal="center"/>
    </xf>
    <xf numFmtId="170" fontId="4" fillId="0" borderId="1" xfId="1" applyNumberFormat="1" applyFont="1" applyFill="1" applyBorder="1"/>
    <xf numFmtId="14" fontId="4" fillId="9" borderId="1" xfId="0" applyNumberFormat="1" applyFont="1" applyFill="1" applyBorder="1" applyAlignment="1">
      <alignment horizontal="center" wrapText="1"/>
    </xf>
    <xf numFmtId="14" fontId="4" fillId="7" borderId="1" xfId="0" applyNumberFormat="1" applyFont="1" applyFill="1" applyBorder="1" applyAlignment="1">
      <alignment horizontal="center" wrapText="1"/>
    </xf>
    <xf numFmtId="14" fontId="4" fillId="0" borderId="0" xfId="0" applyNumberFormat="1" applyFont="1" applyFill="1" applyAlignment="1">
      <alignment horizontal="center"/>
    </xf>
    <xf numFmtId="170" fontId="4" fillId="0" borderId="0" xfId="0" applyNumberFormat="1" applyFont="1" applyFill="1"/>
    <xf numFmtId="170" fontId="4" fillId="2" borderId="1" xfId="0" applyNumberFormat="1" applyFont="1" applyFill="1" applyBorder="1" applyAlignment="1">
      <alignment horizontal="center" wrapText="1"/>
    </xf>
    <xf numFmtId="170" fontId="4" fillId="0" borderId="0" xfId="0" applyNumberFormat="1" applyFont="1" applyFill="1" applyAlignment="1">
      <alignment horizontal="center"/>
    </xf>
    <xf numFmtId="170" fontId="4" fillId="0" borderId="0" xfId="0" applyNumberFormat="1" applyFont="1" applyFill="1"/>
    <xf numFmtId="170" fontId="4" fillId="0" borderId="0" xfId="0" applyNumberFormat="1" applyFont="1" applyAlignment="1">
      <alignment horizontal="center"/>
    </xf>
    <xf numFmtId="170" fontId="4" fillId="0" borderId="0" xfId="0" applyNumberFormat="1" applyFont="1"/>
    <xf numFmtId="170" fontId="4" fillId="14" borderId="0" xfId="0" applyNumberFormat="1" applyFont="1" applyFill="1"/>
    <xf numFmtId="170" fontId="4" fillId="3" borderId="14" xfId="1" applyNumberFormat="1" applyFont="1" applyFill="1" applyBorder="1" applyAlignment="1">
      <alignment horizontal="center" wrapText="1"/>
    </xf>
    <xf numFmtId="170" fontId="4" fillId="2" borderId="14" xfId="0" applyNumberFormat="1" applyFont="1" applyFill="1" applyBorder="1" applyAlignment="1">
      <alignment horizontal="center" wrapText="1"/>
    </xf>
    <xf numFmtId="170" fontId="4" fillId="0" borderId="0" xfId="0" applyNumberFormat="1" applyFont="1" applyFill="1" applyBorder="1" applyAlignment="1" applyProtection="1">
      <alignment horizontal="center"/>
    </xf>
    <xf numFmtId="170" fontId="4" fillId="0" borderId="0" xfId="0" applyNumberFormat="1" applyFont="1" applyFill="1" applyBorder="1" applyAlignment="1" applyProtection="1">
      <alignment horizontal="center" vertical="center"/>
    </xf>
    <xf numFmtId="170" fontId="4" fillId="4" borderId="0" xfId="0" applyNumberFormat="1" applyFont="1" applyFill="1" applyAlignment="1">
      <alignment wrapText="1"/>
    </xf>
    <xf numFmtId="170" fontId="0" fillId="14" borderId="0" xfId="0" applyNumberFormat="1" applyFill="1"/>
    <xf numFmtId="170" fontId="0" fillId="18" borderId="0" xfId="0" applyNumberFormat="1" applyFill="1"/>
    <xf numFmtId="170" fontId="1" fillId="18" borderId="0" xfId="0" applyNumberFormat="1" applyFont="1" applyFill="1"/>
    <xf numFmtId="170" fontId="0" fillId="0" borderId="0" xfId="0" applyNumberFormat="1"/>
    <xf numFmtId="170" fontId="4" fillId="18" borderId="0" xfId="0" applyNumberFormat="1" applyFont="1" applyFill="1"/>
    <xf numFmtId="0" fontId="4" fillId="3" borderId="14" xfId="1" applyNumberFormat="1" applyFont="1" applyFill="1" applyBorder="1" applyAlignment="1">
      <alignment horizontal="center" wrapText="1"/>
    </xf>
    <xf numFmtId="0" fontId="4" fillId="0" borderId="0" xfId="0" applyNumberFormat="1" applyFont="1" applyFill="1"/>
    <xf numFmtId="0" fontId="4" fillId="0" borderId="0" xfId="0" applyNumberFormat="1" applyFont="1"/>
    <xf numFmtId="0" fontId="4" fillId="2" borderId="1" xfId="0" applyNumberFormat="1" applyFont="1" applyFill="1" applyBorder="1" applyAlignment="1">
      <alignment horizontal="center" wrapText="1"/>
    </xf>
    <xf numFmtId="0" fontId="4" fillId="0" borderId="0" xfId="0" applyNumberFormat="1" applyFont="1" applyFill="1" applyAlignment="1">
      <alignment horizontal="center"/>
    </xf>
    <xf numFmtId="0" fontId="4" fillId="0" borderId="0" xfId="0" quotePrefix="1" applyNumberFormat="1" applyFont="1" applyFill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14" borderId="0" xfId="0" applyNumberFormat="1" applyFont="1" applyFill="1"/>
    <xf numFmtId="0" fontId="4" fillId="0" borderId="0" xfId="1" applyNumberFormat="1" applyFont="1" applyFill="1" applyBorder="1" applyAlignment="1">
      <alignment wrapText="1"/>
    </xf>
    <xf numFmtId="170" fontId="6" fillId="0" borderId="20" xfId="0" applyFont="1" applyBorder="1" applyAlignment="1" applyProtection="1">
      <alignment horizontal="center"/>
    </xf>
    <xf numFmtId="170" fontId="6" fillId="0" borderId="21" xfId="0" applyFont="1" applyBorder="1" applyAlignment="1" applyProtection="1">
      <alignment horizontal="center"/>
    </xf>
    <xf numFmtId="170" fontId="6" fillId="0" borderId="22" xfId="0" applyFont="1" applyBorder="1" applyAlignment="1" applyProtection="1">
      <alignment horizontal="center"/>
    </xf>
    <xf numFmtId="170" fontId="10" fillId="12" borderId="6" xfId="0" applyFont="1" applyFill="1" applyBorder="1" applyAlignment="1" applyProtection="1">
      <alignment horizontal="center"/>
    </xf>
    <xf numFmtId="170" fontId="10" fillId="12" borderId="8" xfId="0" applyFont="1" applyFill="1" applyBorder="1" applyAlignment="1" applyProtection="1">
      <alignment horizontal="center"/>
    </xf>
    <xf numFmtId="170" fontId="6" fillId="0" borderId="0" xfId="0" applyFont="1" applyAlignment="1" applyProtection="1">
      <alignment horizontal="center"/>
    </xf>
    <xf numFmtId="170" fontId="6" fillId="0" borderId="19" xfId="0" applyFont="1" applyBorder="1" applyAlignment="1" applyProtection="1">
      <alignment horizontal="center"/>
    </xf>
    <xf numFmtId="170" fontId="6" fillId="0" borderId="15" xfId="0" applyFont="1" applyBorder="1" applyAlignment="1" applyProtection="1">
      <alignment horizontal="center"/>
    </xf>
    <xf numFmtId="170" fontId="6" fillId="0" borderId="16" xfId="0" applyFont="1" applyBorder="1" applyAlignment="1" applyProtection="1">
      <alignment horizontal="center"/>
    </xf>
    <xf numFmtId="170" fontId="6" fillId="0" borderId="17" xfId="0" applyFont="1" applyBorder="1" applyAlignment="1" applyProtection="1">
      <alignment horizontal="center"/>
    </xf>
    <xf numFmtId="170" fontId="8" fillId="0" borderId="0" xfId="0" applyFont="1" applyFill="1" applyAlignment="1">
      <alignment horizontal="center" wrapText="1"/>
    </xf>
    <xf numFmtId="170" fontId="7" fillId="2" borderId="1" xfId="0" applyFont="1" applyFill="1" applyBorder="1" applyAlignment="1">
      <alignment horizontal="center" vertical="center" wrapText="1"/>
    </xf>
    <xf numFmtId="168" fontId="7" fillId="2" borderId="14" xfId="1" applyNumberFormat="1" applyFont="1" applyFill="1" applyBorder="1" applyAlignment="1">
      <alignment horizontal="center" vertical="center" wrapText="1"/>
    </xf>
    <xf numFmtId="168" fontId="7" fillId="2" borderId="18" xfId="1" applyNumberFormat="1" applyFont="1" applyFill="1" applyBorder="1" applyAlignment="1">
      <alignment horizontal="center" vertical="center" wrapText="1"/>
    </xf>
    <xf numFmtId="170" fontId="7" fillId="2" borderId="14" xfId="0" applyFont="1" applyFill="1" applyBorder="1" applyAlignment="1">
      <alignment horizontal="center" vertical="center" wrapText="1"/>
    </xf>
    <xf numFmtId="170" fontId="7" fillId="2" borderId="18" xfId="0" applyFont="1" applyFill="1" applyBorder="1" applyAlignment="1">
      <alignment horizontal="center" vertical="center" wrapText="1"/>
    </xf>
  </cellXfs>
  <cellStyles count="7">
    <cellStyle name="Millares" xfId="1" builtinId="3"/>
    <cellStyle name="Millares 2" xfId="5"/>
    <cellStyle name="Moneda" xfId="2" builtinId="4"/>
    <cellStyle name="Normal" xfId="0" builtinId="0"/>
    <cellStyle name="Normal 2 2" xfId="4"/>
    <cellStyle name="Normal 3" xfId="6"/>
    <cellStyle name="Porcentaje" xfId="3" builtinId="5"/>
  </cellStyles>
  <dxfs count="0"/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1209"/>
  <sheetViews>
    <sheetView topLeftCell="A55" zoomScaleNormal="100" workbookViewId="0">
      <selection activeCell="E73" sqref="E73"/>
    </sheetView>
  </sheetViews>
  <sheetFormatPr baseColWidth="10" defaultRowHeight="12.75" x14ac:dyDescent="0.2"/>
  <cols>
    <col min="1" max="1" width="12.7109375" style="18" bestFit="1" customWidth="1"/>
    <col min="2" max="2" width="8.7109375" style="18" bestFit="1" customWidth="1"/>
    <col min="3" max="3" width="11.85546875" style="18" customWidth="1"/>
    <col min="4" max="4" width="14.5703125" style="18" customWidth="1"/>
    <col min="5" max="5" width="11.28515625" style="18" customWidth="1"/>
    <col min="6" max="6" width="11.42578125" style="24"/>
    <col min="7" max="7" width="11.5703125" style="18" bestFit="1" customWidth="1"/>
    <col min="8" max="8" width="11.42578125" style="18"/>
    <col min="9" max="9" width="12" style="18" customWidth="1"/>
    <col min="10" max="16384" width="11.42578125" style="18"/>
  </cols>
  <sheetData>
    <row r="2" spans="2:9" x14ac:dyDescent="0.2">
      <c r="C2" s="19" t="s">
        <v>32</v>
      </c>
      <c r="D2" s="74">
        <v>47.6</v>
      </c>
      <c r="E2" s="74">
        <v>49.5</v>
      </c>
      <c r="F2" s="74">
        <v>51.95</v>
      </c>
      <c r="G2" s="74">
        <v>54.47</v>
      </c>
      <c r="H2" s="74">
        <v>56.7</v>
      </c>
      <c r="I2" s="75">
        <v>59.08</v>
      </c>
    </row>
    <row r="3" spans="2:9" ht="15" x14ac:dyDescent="0.25">
      <c r="B3" s="188"/>
      <c r="C3" s="188"/>
      <c r="D3" s="188"/>
      <c r="E3" s="188"/>
      <c r="F3" s="188"/>
      <c r="G3" s="188"/>
      <c r="H3" s="188"/>
      <c r="I3" s="188"/>
    </row>
    <row r="4" spans="2:9" ht="14.25" customHeight="1" x14ac:dyDescent="0.25">
      <c r="C4" s="188" t="s">
        <v>33</v>
      </c>
      <c r="D4" s="188"/>
      <c r="E4" s="188"/>
      <c r="F4" s="188"/>
      <c r="G4" s="188"/>
      <c r="H4" s="188"/>
      <c r="I4" s="188"/>
    </row>
    <row r="5" spans="2:9" ht="15.75" thickBot="1" x14ac:dyDescent="0.3">
      <c r="C5" s="189" t="s">
        <v>34</v>
      </c>
      <c r="D5" s="189"/>
      <c r="E5" s="189"/>
      <c r="F5" s="189"/>
      <c r="G5" s="189"/>
      <c r="H5" s="189"/>
      <c r="I5" s="189"/>
    </row>
    <row r="6" spans="2:9" ht="15.75" thickBot="1" x14ac:dyDescent="0.3">
      <c r="C6" s="20">
        <v>2015</v>
      </c>
      <c r="D6" s="21">
        <v>2016</v>
      </c>
      <c r="E6" s="21"/>
      <c r="F6" s="21"/>
      <c r="G6" s="21"/>
      <c r="H6" s="22"/>
      <c r="I6" s="22"/>
    </row>
    <row r="7" spans="2:9" ht="15.75" thickBot="1" x14ac:dyDescent="0.3">
      <c r="C7" s="83">
        <v>0</v>
      </c>
      <c r="D7" s="83">
        <v>0</v>
      </c>
      <c r="E7" s="83">
        <v>0</v>
      </c>
      <c r="F7" s="83"/>
      <c r="G7" s="83"/>
      <c r="H7" s="83"/>
      <c r="I7" s="83"/>
    </row>
    <row r="8" spans="2:9" ht="15.75" thickBot="1" x14ac:dyDescent="0.3">
      <c r="C8" s="23"/>
      <c r="D8" s="23"/>
      <c r="E8" s="23"/>
      <c r="F8" s="23"/>
      <c r="G8" s="23"/>
      <c r="H8" s="23"/>
    </row>
    <row r="9" spans="2:9" ht="15.75" thickBot="1" x14ac:dyDescent="0.3">
      <c r="C9" s="190" t="s">
        <v>878</v>
      </c>
      <c r="D9" s="191"/>
      <c r="E9" s="191"/>
      <c r="F9" s="191"/>
      <c r="G9" s="191"/>
      <c r="H9" s="191"/>
      <c r="I9" s="192"/>
    </row>
    <row r="10" spans="2:9" ht="13.5" thickBot="1" x14ac:dyDescent="0.25">
      <c r="E10" s="24"/>
      <c r="F10" s="18"/>
    </row>
    <row r="11" spans="2:9" ht="15.75" thickBot="1" x14ac:dyDescent="0.3">
      <c r="F11" s="183" t="s">
        <v>35</v>
      </c>
      <c r="G11" s="184"/>
      <c r="H11" s="184"/>
      <c r="I11" s="185"/>
    </row>
    <row r="12" spans="2:9" ht="34.5" x14ac:dyDescent="0.25">
      <c r="C12" s="78" t="s">
        <v>36</v>
      </c>
      <c r="D12" s="79" t="s">
        <v>3</v>
      </c>
      <c r="E12" s="80" t="s">
        <v>37</v>
      </c>
      <c r="F12" s="81">
        <v>1</v>
      </c>
      <c r="G12" s="81">
        <v>2</v>
      </c>
      <c r="H12" s="81">
        <v>3</v>
      </c>
      <c r="I12" s="82">
        <v>4</v>
      </c>
    </row>
    <row r="13" spans="2:9" ht="15" x14ac:dyDescent="0.25">
      <c r="C13" s="84">
        <v>200</v>
      </c>
      <c r="D13" s="77">
        <v>1</v>
      </c>
      <c r="E13" s="85">
        <v>0.1</v>
      </c>
      <c r="F13" s="121">
        <f>C13*(1+$C$7)*(1+$D$7)*(1+$E$7)*(1+$F$7)*(1+$G$7)*(1+$H$7)*(1+$I$7)</f>
        <v>200</v>
      </c>
      <c r="G13" s="25">
        <f t="shared" ref="G13:G27" si="0">F13*(1+E13)</f>
        <v>220.00000000000003</v>
      </c>
      <c r="H13" s="25">
        <f t="shared" ref="H13:H27" si="1">G13*(1+E13)</f>
        <v>242.00000000000006</v>
      </c>
      <c r="I13" s="26">
        <f t="shared" ref="I13:I27" si="2">H13*(1+E13)</f>
        <v>266.2000000000001</v>
      </c>
    </row>
    <row r="14" spans="2:9" ht="15" x14ac:dyDescent="0.25">
      <c r="C14" s="84">
        <v>300</v>
      </c>
      <c r="D14" s="77">
        <v>2</v>
      </c>
      <c r="E14" s="85">
        <v>0.05</v>
      </c>
      <c r="F14" s="121">
        <f>C14*(1+$C$7)*(1+$D$7)*(1+$E$7)*(1+$F$7)*(1+$G$7)*(1+$H$7)*(1+$I$7)</f>
        <v>300</v>
      </c>
      <c r="G14" s="25">
        <f t="shared" si="0"/>
        <v>315</v>
      </c>
      <c r="H14" s="25">
        <f t="shared" si="1"/>
        <v>330.75</v>
      </c>
      <c r="I14" s="26">
        <f t="shared" si="2"/>
        <v>347.28750000000002</v>
      </c>
    </row>
    <row r="15" spans="2:9" ht="15" x14ac:dyDescent="0.25">
      <c r="C15" s="84">
        <v>500</v>
      </c>
      <c r="D15" s="77">
        <v>3</v>
      </c>
      <c r="E15" s="85">
        <v>0.05</v>
      </c>
      <c r="F15" s="121">
        <f t="shared" ref="F15:F27" si="3">C15*(1+$C$7)*(1+$D$7)*(1+$E$7)*(1+$F$7)*(1+$G$7)*(1+$H$7)*(1+$I$7)</f>
        <v>500</v>
      </c>
      <c r="G15" s="25">
        <f t="shared" si="0"/>
        <v>525</v>
      </c>
      <c r="H15" s="25">
        <f t="shared" si="1"/>
        <v>551.25</v>
      </c>
      <c r="I15" s="26">
        <f t="shared" si="2"/>
        <v>578.8125</v>
      </c>
    </row>
    <row r="16" spans="2:9" ht="15" x14ac:dyDescent="0.25">
      <c r="C16" s="84">
        <v>600</v>
      </c>
      <c r="D16" s="77">
        <v>4</v>
      </c>
      <c r="E16" s="85">
        <v>0.05</v>
      </c>
      <c r="F16" s="121">
        <f t="shared" si="3"/>
        <v>600</v>
      </c>
      <c r="G16" s="122">
        <f>F16*(1+E16)+20</f>
        <v>650</v>
      </c>
      <c r="H16" s="25">
        <f t="shared" si="1"/>
        <v>682.5</v>
      </c>
      <c r="I16" s="26">
        <f t="shared" si="2"/>
        <v>716.625</v>
      </c>
    </row>
    <row r="17" spans="1:9" ht="15" x14ac:dyDescent="0.25">
      <c r="C17" s="84">
        <v>900</v>
      </c>
      <c r="D17" s="77">
        <v>5</v>
      </c>
      <c r="E17" s="85">
        <v>5.6000000000000001E-2</v>
      </c>
      <c r="F17" s="121">
        <f t="shared" si="3"/>
        <v>900</v>
      </c>
      <c r="G17" s="122">
        <f t="shared" si="0"/>
        <v>950.40000000000009</v>
      </c>
      <c r="H17" s="122">
        <f>G17*(1+E17)-4</f>
        <v>999.6224000000002</v>
      </c>
      <c r="I17" s="123">
        <f>H17*(1+E17)+44</f>
        <v>1099.6012544000002</v>
      </c>
    </row>
    <row r="18" spans="1:9" ht="15" x14ac:dyDescent="0.25">
      <c r="C18" s="84">
        <v>1200</v>
      </c>
      <c r="D18" s="77">
        <v>6</v>
      </c>
      <c r="E18" s="85">
        <v>0.05</v>
      </c>
      <c r="F18" s="121">
        <f t="shared" si="3"/>
        <v>1200</v>
      </c>
      <c r="G18" s="122">
        <f>F18*(1+E18)-10</f>
        <v>1250</v>
      </c>
      <c r="H18" s="122">
        <f>G18*(1+E18)-13</f>
        <v>1299.5</v>
      </c>
      <c r="I18" s="26">
        <f>H18*(1+E18)-14</f>
        <v>1350.4750000000001</v>
      </c>
    </row>
    <row r="19" spans="1:9" ht="15" x14ac:dyDescent="0.25">
      <c r="A19" s="27"/>
      <c r="C19" s="84">
        <v>1400</v>
      </c>
      <c r="D19" s="77">
        <v>7</v>
      </c>
      <c r="E19" s="85">
        <v>0.05</v>
      </c>
      <c r="F19" s="121">
        <f t="shared" si="3"/>
        <v>1400</v>
      </c>
      <c r="G19" s="122">
        <f>F19*(1+E19)-20</f>
        <v>1450</v>
      </c>
      <c r="H19" s="122">
        <f>G19*(1+E19)-23</f>
        <v>1499.5</v>
      </c>
      <c r="I19" s="26">
        <f t="shared" si="2"/>
        <v>1574.4750000000001</v>
      </c>
    </row>
    <row r="20" spans="1:9" ht="15" x14ac:dyDescent="0.25">
      <c r="C20" s="84">
        <v>1600</v>
      </c>
      <c r="D20" s="77">
        <v>8</v>
      </c>
      <c r="E20" s="85">
        <v>0.05</v>
      </c>
      <c r="F20" s="121">
        <f t="shared" si="3"/>
        <v>1600</v>
      </c>
      <c r="G20" s="122">
        <f>F20*(1+E20)-30</f>
        <v>1650</v>
      </c>
      <c r="H20" s="122">
        <f>G20*(1+E20)-33</f>
        <v>1699.5</v>
      </c>
      <c r="I20" s="123">
        <v>1800</v>
      </c>
    </row>
    <row r="21" spans="1:9" ht="15" x14ac:dyDescent="0.25">
      <c r="C21" s="84">
        <v>2000</v>
      </c>
      <c r="D21" s="77">
        <v>9</v>
      </c>
      <c r="E21" s="85">
        <v>0.05</v>
      </c>
      <c r="F21" s="121">
        <f t="shared" si="3"/>
        <v>2000</v>
      </c>
      <c r="G21" s="28">
        <f t="shared" si="0"/>
        <v>2100</v>
      </c>
      <c r="H21" s="122">
        <f>G21*(1+E21)-5</f>
        <v>2200</v>
      </c>
      <c r="I21" s="123">
        <f>H21*(1+E21)-10</f>
        <v>2300</v>
      </c>
    </row>
    <row r="22" spans="1:9" ht="15" x14ac:dyDescent="0.25">
      <c r="C22" s="84">
        <v>2400</v>
      </c>
      <c r="D22" s="77">
        <v>10</v>
      </c>
      <c r="E22" s="85">
        <v>0.05</v>
      </c>
      <c r="F22" s="76">
        <f t="shared" si="3"/>
        <v>2400</v>
      </c>
      <c r="G22" s="122">
        <f>F22*(1+E22)-20</f>
        <v>2500</v>
      </c>
      <c r="H22" s="25">
        <f>G22*(1+E22)-25</f>
        <v>2600</v>
      </c>
      <c r="I22" s="26">
        <f>H22*(1+E22)-30</f>
        <v>2700</v>
      </c>
    </row>
    <row r="23" spans="1:9" ht="15" x14ac:dyDescent="0.25">
      <c r="C23" s="84">
        <v>2800</v>
      </c>
      <c r="D23" s="77">
        <v>11</v>
      </c>
      <c r="E23" s="85">
        <v>0.05</v>
      </c>
      <c r="F23" s="76">
        <f t="shared" si="3"/>
        <v>2800</v>
      </c>
      <c r="G23" s="28">
        <f>F23*(1+E23)-40</f>
        <v>2900</v>
      </c>
      <c r="H23" s="25">
        <f>G23*(1+E23)-45</f>
        <v>3000</v>
      </c>
      <c r="I23" s="26">
        <f>H23*(1+E23)+50</f>
        <v>3200</v>
      </c>
    </row>
    <row r="24" spans="1:9" ht="15" x14ac:dyDescent="0.25">
      <c r="C24" s="84">
        <v>3500</v>
      </c>
      <c r="D24" s="77">
        <v>12</v>
      </c>
      <c r="E24" s="85">
        <v>0.05</v>
      </c>
      <c r="F24" s="76">
        <f t="shared" si="3"/>
        <v>3500</v>
      </c>
      <c r="G24" s="28">
        <f>F24*(1+E24)-75</f>
        <v>3600</v>
      </c>
      <c r="H24" s="25">
        <f>G24*(1+E24)-80</f>
        <v>3700</v>
      </c>
      <c r="I24" s="26">
        <f>H24*(1+E24)+15</f>
        <v>3900</v>
      </c>
    </row>
    <row r="25" spans="1:9" ht="15" x14ac:dyDescent="0.25">
      <c r="C25" s="84">
        <v>4000</v>
      </c>
      <c r="D25" s="77">
        <v>13</v>
      </c>
      <c r="E25" s="85">
        <v>0.05</v>
      </c>
      <c r="F25" s="76">
        <f t="shared" si="3"/>
        <v>4000</v>
      </c>
      <c r="G25" s="28">
        <f t="shared" si="0"/>
        <v>4200</v>
      </c>
      <c r="H25" s="25">
        <f>G25*(1+E25)-10</f>
        <v>4400</v>
      </c>
      <c r="I25" s="26">
        <f>H25*(1+E25)-20</f>
        <v>4600</v>
      </c>
    </row>
    <row r="26" spans="1:9" ht="15" x14ac:dyDescent="0.25">
      <c r="C26" s="84">
        <v>4700</v>
      </c>
      <c r="D26" s="77">
        <v>14</v>
      </c>
      <c r="E26" s="85">
        <v>0.05</v>
      </c>
      <c r="F26" s="76">
        <f t="shared" si="3"/>
        <v>4700</v>
      </c>
      <c r="G26" s="28">
        <f t="shared" si="0"/>
        <v>4935</v>
      </c>
      <c r="H26" s="25">
        <f>G26*(1+E26)+18</f>
        <v>5199.75</v>
      </c>
      <c r="I26" s="26">
        <f>H26*(1+E26)-10</f>
        <v>5449.7375000000002</v>
      </c>
    </row>
    <row r="27" spans="1:9" ht="15" x14ac:dyDescent="0.25">
      <c r="C27" s="84">
        <v>5500</v>
      </c>
      <c r="D27" s="77">
        <v>15</v>
      </c>
      <c r="E27" s="85">
        <v>0.05</v>
      </c>
      <c r="F27" s="76">
        <f t="shared" si="3"/>
        <v>5500</v>
      </c>
      <c r="G27" s="28">
        <f t="shared" si="0"/>
        <v>5775</v>
      </c>
      <c r="H27" s="25">
        <f t="shared" si="1"/>
        <v>6063.75</v>
      </c>
      <c r="I27" s="26">
        <f t="shared" si="2"/>
        <v>6366.9375</v>
      </c>
    </row>
    <row r="28" spans="1:9" x14ac:dyDescent="0.2">
      <c r="F28" s="29"/>
      <c r="G28" s="30"/>
      <c r="H28" s="30"/>
      <c r="I28" s="30"/>
    </row>
    <row r="29" spans="1:9" x14ac:dyDescent="0.2">
      <c r="B29" s="31"/>
      <c r="G29" s="31"/>
      <c r="H29" s="31"/>
      <c r="I29" s="31"/>
    </row>
    <row r="30" spans="1:9" ht="13.5" thickBot="1" x14ac:dyDescent="0.25">
      <c r="B30" s="31"/>
    </row>
    <row r="31" spans="1:9" ht="15" x14ac:dyDescent="0.25">
      <c r="C31" s="186"/>
      <c r="D31" s="187"/>
    </row>
    <row r="32" spans="1:9" ht="15" x14ac:dyDescent="0.25">
      <c r="C32" s="86" t="s">
        <v>35</v>
      </c>
      <c r="D32" s="87" t="s">
        <v>38</v>
      </c>
    </row>
    <row r="33" spans="3:11" ht="15" x14ac:dyDescent="0.25">
      <c r="C33" s="147">
        <v>1</v>
      </c>
      <c r="D33" s="111">
        <v>0</v>
      </c>
      <c r="E33" s="18">
        <v>0</v>
      </c>
      <c r="F33" s="24" t="s">
        <v>208</v>
      </c>
    </row>
    <row r="34" spans="3:11" ht="15" x14ac:dyDescent="0.25">
      <c r="C34" s="148">
        <v>1.1000000000000001</v>
      </c>
      <c r="D34" s="32">
        <f>F13</f>
        <v>200</v>
      </c>
      <c r="E34" s="58">
        <v>200</v>
      </c>
      <c r="F34" s="18" t="str">
        <f>Pesos(E34)</f>
        <v>(DOSCIENTOS  PESOS  00/100 M.N.)</v>
      </c>
      <c r="G34" s="24"/>
      <c r="I34" s="57"/>
      <c r="K34" s="34"/>
    </row>
    <row r="35" spans="3:11" ht="15" x14ac:dyDescent="0.25">
      <c r="C35" s="148">
        <v>1.2</v>
      </c>
      <c r="D35" s="32">
        <f>G13</f>
        <v>220.00000000000003</v>
      </c>
      <c r="E35" s="58">
        <v>220</v>
      </c>
      <c r="F35" s="18" t="str">
        <f t="shared" ref="F35:F93" si="4">Pesos(E35)</f>
        <v>(DOSCIENTOS VEINTE  PESOS  00/100 M.N.)</v>
      </c>
      <c r="G35" s="24"/>
      <c r="I35" s="57"/>
      <c r="K35" s="34"/>
    </row>
    <row r="36" spans="3:11" ht="15" x14ac:dyDescent="0.25">
      <c r="C36" s="148">
        <v>1.3</v>
      </c>
      <c r="D36" s="32">
        <f>H13</f>
        <v>242.00000000000006</v>
      </c>
      <c r="E36" s="58">
        <v>242</v>
      </c>
      <c r="F36" s="18" t="str">
        <f t="shared" si="4"/>
        <v>(DOSCIENTOS CUARENTA Y DOS PESOS  00/100 M.N.)</v>
      </c>
      <c r="G36" s="24"/>
      <c r="I36" s="57"/>
      <c r="K36" s="34"/>
    </row>
    <row r="37" spans="3:11" ht="15" x14ac:dyDescent="0.25">
      <c r="C37" s="148">
        <v>1.4</v>
      </c>
      <c r="D37" s="32">
        <f>I13</f>
        <v>266.2000000000001</v>
      </c>
      <c r="E37" s="58">
        <v>266</v>
      </c>
      <c r="F37" s="18" t="str">
        <f t="shared" si="4"/>
        <v>(DOSCIENTOS SESENTA Y SEIS PESOS  00/100 M.N.)</v>
      </c>
      <c r="G37" s="24"/>
      <c r="I37" s="57"/>
      <c r="K37" s="34"/>
    </row>
    <row r="38" spans="3:11" ht="15" x14ac:dyDescent="0.25">
      <c r="C38" s="148">
        <v>2.1</v>
      </c>
      <c r="D38" s="32">
        <f>F14</f>
        <v>300</v>
      </c>
      <c r="E38" s="58">
        <v>300</v>
      </c>
      <c r="F38" s="18" t="str">
        <f t="shared" si="4"/>
        <v>(TRESCIENTOS  PESOS  00/100 M.N.)</v>
      </c>
      <c r="G38" s="24"/>
      <c r="I38" s="57"/>
      <c r="K38" s="34"/>
    </row>
    <row r="39" spans="3:11" ht="15" x14ac:dyDescent="0.25">
      <c r="C39" s="148">
        <v>2.2000000000000002</v>
      </c>
      <c r="D39" s="32">
        <f>G14</f>
        <v>315</v>
      </c>
      <c r="E39" s="58">
        <v>315</v>
      </c>
      <c r="F39" s="18" t="str">
        <f t="shared" si="4"/>
        <v>(TRESCIENTOS QUINCE PESOS  00/100 M.N.)</v>
      </c>
      <c r="G39" s="24"/>
      <c r="I39" s="57"/>
      <c r="K39" s="34"/>
    </row>
    <row r="40" spans="3:11" ht="15" x14ac:dyDescent="0.25">
      <c r="C40" s="148">
        <v>2.2999999999999998</v>
      </c>
      <c r="D40" s="32">
        <f>H14</f>
        <v>330.75</v>
      </c>
      <c r="E40" s="58">
        <v>331</v>
      </c>
      <c r="F40" s="18" t="str">
        <f t="shared" si="4"/>
        <v>(TRESCIENTOS TREINTA Y UN PESOS  00/100 M.N.)</v>
      </c>
      <c r="G40" s="24"/>
      <c r="I40" s="57"/>
      <c r="K40" s="34"/>
    </row>
    <row r="41" spans="3:11" ht="15" x14ac:dyDescent="0.25">
      <c r="C41" s="148">
        <v>2.4</v>
      </c>
      <c r="D41" s="32">
        <f>I14</f>
        <v>347.28750000000002</v>
      </c>
      <c r="E41" s="58">
        <v>347</v>
      </c>
      <c r="F41" s="18" t="str">
        <f t="shared" si="4"/>
        <v>(TRESCIENTOS CUARENTA Y SIETE PESOS  00/100 M.N.)</v>
      </c>
      <c r="G41" s="24"/>
      <c r="I41" s="57"/>
      <c r="K41" s="34"/>
    </row>
    <row r="42" spans="3:11" ht="15" x14ac:dyDescent="0.25">
      <c r="C42" s="148">
        <v>3.1</v>
      </c>
      <c r="D42" s="32">
        <f>F15</f>
        <v>500</v>
      </c>
      <c r="E42" s="58">
        <v>500</v>
      </c>
      <c r="F42" s="18" t="str">
        <f t="shared" si="4"/>
        <v>(QUINIENTOS  PESOS  00/100 M.N.)</v>
      </c>
      <c r="G42" s="24"/>
      <c r="I42" s="57"/>
      <c r="K42" s="34"/>
    </row>
    <row r="43" spans="3:11" ht="15" x14ac:dyDescent="0.25">
      <c r="C43" s="149">
        <v>3.2</v>
      </c>
      <c r="D43" s="32">
        <f>G15</f>
        <v>525</v>
      </c>
      <c r="E43" s="58">
        <v>525</v>
      </c>
      <c r="F43" s="18" t="str">
        <f t="shared" si="4"/>
        <v>(QUINIENTOS VEINTE Y CINCO PESOS  00/100 M.N.)</v>
      </c>
      <c r="G43" s="24"/>
      <c r="I43" s="57"/>
      <c r="K43" s="34"/>
    </row>
    <row r="44" spans="3:11" ht="15" x14ac:dyDescent="0.25">
      <c r="C44" s="149">
        <v>3.3</v>
      </c>
      <c r="D44" s="32">
        <f>H15</f>
        <v>551.25</v>
      </c>
      <c r="E44" s="58">
        <v>551</v>
      </c>
      <c r="F44" s="18" t="str">
        <f t="shared" si="4"/>
        <v>(QUINIENTOS CINCUENTA Y UN PESOS  00/100 M.N.)</v>
      </c>
      <c r="G44" s="24"/>
      <c r="I44" s="57"/>
      <c r="K44" s="34"/>
    </row>
    <row r="45" spans="3:11" ht="15" x14ac:dyDescent="0.25">
      <c r="C45" s="149">
        <v>3.4</v>
      </c>
      <c r="D45" s="32">
        <f>I15</f>
        <v>578.8125</v>
      </c>
      <c r="E45" s="58">
        <v>579</v>
      </c>
      <c r="F45" s="18" t="str">
        <f t="shared" si="4"/>
        <v>(QUINIENTOS SETENTA Y NUEVE PESOS  00/100 M.N.)</v>
      </c>
      <c r="G45" s="24"/>
      <c r="I45" s="57"/>
      <c r="K45" s="34"/>
    </row>
    <row r="46" spans="3:11" ht="15" x14ac:dyDescent="0.25">
      <c r="C46" s="149">
        <v>4.0999999999999996</v>
      </c>
      <c r="D46" s="32">
        <f>F16</f>
        <v>600</v>
      </c>
      <c r="E46" s="58">
        <v>600</v>
      </c>
      <c r="F46" s="18" t="str">
        <f t="shared" si="4"/>
        <v>(SEISCIENTOS  PESOS  00/100 M.N.)</v>
      </c>
      <c r="G46" s="24"/>
      <c r="I46" s="57"/>
      <c r="K46" s="34"/>
    </row>
    <row r="47" spans="3:11" ht="15" x14ac:dyDescent="0.25">
      <c r="C47" s="149">
        <v>4.2</v>
      </c>
      <c r="D47" s="32">
        <f>G16</f>
        <v>650</v>
      </c>
      <c r="E47" s="58">
        <v>650</v>
      </c>
      <c r="F47" s="18" t="str">
        <f t="shared" si="4"/>
        <v>(SEISCIENTOS CINCUENTA  PESOS  00/100 M.N.)</v>
      </c>
      <c r="G47" s="24"/>
      <c r="I47" s="57"/>
      <c r="K47" s="34"/>
    </row>
    <row r="48" spans="3:11" ht="15" x14ac:dyDescent="0.25">
      <c r="C48" s="149">
        <v>4.3</v>
      </c>
      <c r="D48" s="32">
        <f>H16</f>
        <v>682.5</v>
      </c>
      <c r="E48" s="58">
        <v>683</v>
      </c>
      <c r="F48" s="18" t="str">
        <f t="shared" si="4"/>
        <v>(SEISCIENTOS OCHENTA Y TRES PESOS  00/100 M.N.)</v>
      </c>
      <c r="G48" s="24"/>
      <c r="I48" s="57"/>
      <c r="K48" s="34"/>
    </row>
    <row r="49" spans="3:11" ht="15" x14ac:dyDescent="0.25">
      <c r="C49" s="149">
        <v>4.4000000000000004</v>
      </c>
      <c r="D49" s="32">
        <f>I16</f>
        <v>716.625</v>
      </c>
      <c r="E49" s="58">
        <v>717</v>
      </c>
      <c r="F49" s="18" t="str">
        <f t="shared" si="4"/>
        <v>(SETECIENTOS DIECISIETE PESOS  00/100 M.N.)</v>
      </c>
      <c r="G49" s="24"/>
      <c r="I49" s="57"/>
      <c r="K49" s="34"/>
    </row>
    <row r="50" spans="3:11" ht="15" x14ac:dyDescent="0.25">
      <c r="C50" s="149">
        <v>5.0999999999999996</v>
      </c>
      <c r="D50" s="32">
        <f>F17</f>
        <v>900</v>
      </c>
      <c r="E50" s="58">
        <v>900</v>
      </c>
      <c r="F50" s="18" t="str">
        <f t="shared" si="4"/>
        <v>(NOVECIENTOS  PESOS  00/100 M.N.)</v>
      </c>
      <c r="G50" s="24"/>
      <c r="I50" s="57"/>
      <c r="K50" s="34"/>
    </row>
    <row r="51" spans="3:11" ht="15" x14ac:dyDescent="0.25">
      <c r="C51" s="149">
        <v>5.2</v>
      </c>
      <c r="D51" s="32">
        <f>G17</f>
        <v>950.40000000000009</v>
      </c>
      <c r="E51" s="58">
        <v>950</v>
      </c>
      <c r="F51" s="18" t="str">
        <f t="shared" si="4"/>
        <v>(NOVECIENTOS CINCUENTA  PESOS  00/100 M.N.)</v>
      </c>
      <c r="G51" s="24"/>
      <c r="I51" s="57"/>
      <c r="K51" s="34"/>
    </row>
    <row r="52" spans="3:11" ht="15" x14ac:dyDescent="0.25">
      <c r="C52" s="149">
        <v>5.3</v>
      </c>
      <c r="D52" s="32">
        <f>H17</f>
        <v>999.6224000000002</v>
      </c>
      <c r="E52" s="58">
        <v>1000</v>
      </c>
      <c r="F52" s="18" t="str">
        <f t="shared" si="4"/>
        <v>(UN MIL  PESOS  00/100 M.N.)</v>
      </c>
      <c r="G52" s="24"/>
      <c r="I52" s="57"/>
      <c r="K52" s="34"/>
    </row>
    <row r="53" spans="3:11" ht="15" x14ac:dyDescent="0.25">
      <c r="C53" s="149">
        <v>5.4</v>
      </c>
      <c r="D53" s="32">
        <f>I17</f>
        <v>1099.6012544000002</v>
      </c>
      <c r="E53" s="58">
        <v>1100</v>
      </c>
      <c r="F53" s="18" t="str">
        <f t="shared" si="4"/>
        <v>(UN MIL CIEN  PESOS  00/100 M.N.)</v>
      </c>
      <c r="G53" s="24"/>
      <c r="I53" s="57"/>
      <c r="K53" s="34"/>
    </row>
    <row r="54" spans="3:11" ht="15" x14ac:dyDescent="0.25">
      <c r="C54" s="149">
        <v>6.1</v>
      </c>
      <c r="D54" s="32">
        <f>F18</f>
        <v>1200</v>
      </c>
      <c r="E54" s="58">
        <v>1200</v>
      </c>
      <c r="F54" s="18" t="str">
        <f t="shared" si="4"/>
        <v>(UN MIL DOSCIENTOS  PESOS  00/100 M.N.)</v>
      </c>
      <c r="G54" s="24"/>
      <c r="I54" s="57"/>
      <c r="K54" s="34"/>
    </row>
    <row r="55" spans="3:11" ht="15" x14ac:dyDescent="0.25">
      <c r="C55" s="149">
        <v>6.2</v>
      </c>
      <c r="D55" s="32">
        <f>G18</f>
        <v>1250</v>
      </c>
      <c r="E55" s="58">
        <v>1250</v>
      </c>
      <c r="F55" s="18" t="str">
        <f t="shared" si="4"/>
        <v>(UN MIL DOSCIENTOS CINCUENTA  PESOS  00/100 M.N.)</v>
      </c>
      <c r="G55" s="24"/>
      <c r="I55" s="57"/>
      <c r="K55" s="34"/>
    </row>
    <row r="56" spans="3:11" ht="15" x14ac:dyDescent="0.25">
      <c r="C56" s="149">
        <v>6.3</v>
      </c>
      <c r="D56" s="32">
        <f>H18</f>
        <v>1299.5</v>
      </c>
      <c r="E56" s="58">
        <v>1300</v>
      </c>
      <c r="F56" s="18" t="str">
        <f t="shared" si="4"/>
        <v>(UN MIL TRESCIENTOS  PESOS  00/100 M.N.)</v>
      </c>
      <c r="G56" s="24"/>
      <c r="I56" s="57"/>
      <c r="K56" s="34"/>
    </row>
    <row r="57" spans="3:11" ht="15" x14ac:dyDescent="0.25">
      <c r="C57" s="149">
        <v>6.4</v>
      </c>
      <c r="D57" s="32">
        <f>I18</f>
        <v>1350.4750000000001</v>
      </c>
      <c r="E57" s="58">
        <v>1350</v>
      </c>
      <c r="F57" s="18" t="str">
        <f t="shared" si="4"/>
        <v>(UN MIL TRESCIENTOS CINCUENTA  PESOS  00/100 M.N.)</v>
      </c>
      <c r="G57" s="24"/>
      <c r="I57" s="57"/>
      <c r="K57" s="34"/>
    </row>
    <row r="58" spans="3:11" ht="15" x14ac:dyDescent="0.25">
      <c r="C58" s="149">
        <v>7.1</v>
      </c>
      <c r="D58" s="32">
        <f>F19</f>
        <v>1400</v>
      </c>
      <c r="E58" s="58">
        <v>1400</v>
      </c>
      <c r="F58" s="18" t="str">
        <f t="shared" si="4"/>
        <v>(UN MIL CUATROCIENTOS  PESOS  00/100 M.N.)</v>
      </c>
      <c r="G58" s="24"/>
      <c r="I58" s="57"/>
      <c r="K58" s="34"/>
    </row>
    <row r="59" spans="3:11" ht="15" x14ac:dyDescent="0.25">
      <c r="C59" s="149">
        <v>7.2</v>
      </c>
      <c r="D59" s="32">
        <f>G19</f>
        <v>1450</v>
      </c>
      <c r="E59" s="58">
        <v>1450</v>
      </c>
      <c r="F59" s="18" t="str">
        <f t="shared" si="4"/>
        <v>(UN MIL CUATROCIENTOS CINCUENTA  PESOS  00/100 M.N.)</v>
      </c>
      <c r="G59" s="24"/>
      <c r="I59" s="57"/>
      <c r="K59" s="34"/>
    </row>
    <row r="60" spans="3:11" ht="15" x14ac:dyDescent="0.25">
      <c r="C60" s="149">
        <v>7.3</v>
      </c>
      <c r="D60" s="32">
        <f>H19</f>
        <v>1499.5</v>
      </c>
      <c r="E60" s="58">
        <v>1500</v>
      </c>
      <c r="F60" s="18" t="str">
        <f t="shared" si="4"/>
        <v>(UN MIL QUINIENTOS  PESOS  00/100 M.N.)</v>
      </c>
      <c r="G60" s="24"/>
      <c r="I60" s="57"/>
      <c r="K60" s="34"/>
    </row>
    <row r="61" spans="3:11" ht="15" x14ac:dyDescent="0.25">
      <c r="C61" s="149">
        <v>7.4</v>
      </c>
      <c r="D61" s="32">
        <f>I19</f>
        <v>1574.4750000000001</v>
      </c>
      <c r="E61" s="58">
        <v>1574</v>
      </c>
      <c r="F61" s="18" t="str">
        <f t="shared" si="4"/>
        <v>(UN MIL QUINIENTOS SETENTA Y CUATRO PESOS  00/100 M.N.)</v>
      </c>
      <c r="G61" s="24"/>
      <c r="I61" s="57"/>
      <c r="K61" s="34"/>
    </row>
    <row r="62" spans="3:11" ht="15" x14ac:dyDescent="0.25">
      <c r="C62" s="149">
        <v>8.1</v>
      </c>
      <c r="D62" s="32">
        <f>F20</f>
        <v>1600</v>
      </c>
      <c r="E62" s="58">
        <v>1600</v>
      </c>
      <c r="F62" s="18" t="str">
        <f t="shared" si="4"/>
        <v>(UN MIL SEISCIENTOS  PESOS  00/100 M.N.)</v>
      </c>
      <c r="G62" s="24"/>
      <c r="I62" s="57"/>
      <c r="K62" s="34"/>
    </row>
    <row r="63" spans="3:11" ht="15" x14ac:dyDescent="0.25">
      <c r="C63" s="149">
        <v>8.1999999999999993</v>
      </c>
      <c r="D63" s="32">
        <f>G20</f>
        <v>1650</v>
      </c>
      <c r="E63" s="58">
        <v>1650</v>
      </c>
      <c r="F63" s="18" t="str">
        <f t="shared" si="4"/>
        <v>(UN MIL SEISCIENTOS CINCUENTA  PESOS  00/100 M.N.)</v>
      </c>
      <c r="G63" s="24"/>
      <c r="I63" s="57"/>
      <c r="K63" s="34"/>
    </row>
    <row r="64" spans="3:11" ht="15" x14ac:dyDescent="0.25">
      <c r="C64" s="149">
        <v>8.3000000000000007</v>
      </c>
      <c r="D64" s="32">
        <f>H20</f>
        <v>1699.5</v>
      </c>
      <c r="E64" s="58">
        <v>1700</v>
      </c>
      <c r="F64" s="18" t="str">
        <f t="shared" si="4"/>
        <v>(UN MIL SETECIENTOS  PESOS  00/100 M.N.)</v>
      </c>
      <c r="G64" s="24"/>
      <c r="I64" s="57"/>
      <c r="K64" s="34"/>
    </row>
    <row r="65" spans="2:11" ht="15" x14ac:dyDescent="0.25">
      <c r="C65" s="149">
        <v>8.4</v>
      </c>
      <c r="D65" s="32">
        <f>I20</f>
        <v>1800</v>
      </c>
      <c r="E65" s="58">
        <v>1800</v>
      </c>
      <c r="F65" s="18" t="str">
        <f t="shared" si="4"/>
        <v>(UN MIL OCHOCIENTOS  PESOS  00/100 M.N.)</v>
      </c>
      <c r="G65" s="24"/>
      <c r="I65" s="57"/>
      <c r="K65" s="34"/>
    </row>
    <row r="66" spans="2:11" ht="15" x14ac:dyDescent="0.25">
      <c r="C66" s="149">
        <v>9.1</v>
      </c>
      <c r="D66" s="32">
        <f>F21</f>
        <v>2000</v>
      </c>
      <c r="E66" s="58">
        <v>2000</v>
      </c>
      <c r="F66" s="18" t="str">
        <f t="shared" si="4"/>
        <v>(DOS MIL  PESOS  00/100 M.N.)</v>
      </c>
      <c r="G66" s="24"/>
      <c r="I66" s="57"/>
      <c r="K66" s="34"/>
    </row>
    <row r="67" spans="2:11" ht="15" x14ac:dyDescent="0.25">
      <c r="C67" s="149">
        <v>9.1999999999999993</v>
      </c>
      <c r="D67" s="32">
        <f>G21</f>
        <v>2100</v>
      </c>
      <c r="E67" s="58">
        <v>2100</v>
      </c>
      <c r="F67" s="18" t="str">
        <f t="shared" si="4"/>
        <v>(DOS MIL CIEN  PESOS  00/100 M.N.)</v>
      </c>
      <c r="G67" s="24"/>
      <c r="I67" s="57"/>
      <c r="K67" s="34"/>
    </row>
    <row r="68" spans="2:11" ht="15" x14ac:dyDescent="0.25">
      <c r="C68" s="149">
        <v>9.3000000000000007</v>
      </c>
      <c r="D68" s="32">
        <f>H21</f>
        <v>2200</v>
      </c>
      <c r="E68" s="58">
        <v>2200</v>
      </c>
      <c r="F68" s="18" t="str">
        <f t="shared" si="4"/>
        <v>(DOS MIL DOSCIENTOS  PESOS  00/100 M.N.)</v>
      </c>
      <c r="G68" s="24"/>
      <c r="I68" s="57"/>
      <c r="K68" s="34"/>
    </row>
    <row r="69" spans="2:11" ht="15.75" thickBot="1" x14ac:dyDescent="0.3">
      <c r="C69" s="150">
        <v>9.4</v>
      </c>
      <c r="D69" s="33">
        <f>I21</f>
        <v>2300</v>
      </c>
      <c r="E69" s="58">
        <v>2300</v>
      </c>
      <c r="F69" s="18" t="str">
        <f t="shared" si="4"/>
        <v>(DOS MIL TRESCIENTOS  PESOS  00/100 M.N.)</v>
      </c>
      <c r="G69" s="24"/>
      <c r="I69" s="57"/>
      <c r="K69" s="34"/>
    </row>
    <row r="70" spans="2:11" ht="15" x14ac:dyDescent="0.25">
      <c r="C70" s="149">
        <v>10.1</v>
      </c>
      <c r="D70" s="32">
        <f>F22</f>
        <v>2400</v>
      </c>
      <c r="E70" s="58">
        <v>2400</v>
      </c>
      <c r="F70" s="18" t="str">
        <f t="shared" si="4"/>
        <v>(DOS MIL CUATROCIENTOS  PESOS  00/100 M.N.)</v>
      </c>
      <c r="I70" s="57"/>
      <c r="K70" s="34"/>
    </row>
    <row r="71" spans="2:11" ht="15" x14ac:dyDescent="0.25">
      <c r="C71" s="149">
        <v>10.199999999999999</v>
      </c>
      <c r="D71" s="32">
        <f>G22</f>
        <v>2500</v>
      </c>
      <c r="E71" s="58">
        <v>2500</v>
      </c>
      <c r="F71" s="18" t="str">
        <f t="shared" si="4"/>
        <v>(DOS MIL QUINIENTOS  PESOS  00/100 M.N.)</v>
      </c>
      <c r="I71" s="57"/>
      <c r="K71" s="34"/>
    </row>
    <row r="72" spans="2:11" ht="15" x14ac:dyDescent="0.25">
      <c r="B72" s="34"/>
      <c r="C72" s="149">
        <v>10.3</v>
      </c>
      <c r="D72" s="32">
        <f>H22</f>
        <v>2600</v>
      </c>
      <c r="E72" s="58">
        <v>2600</v>
      </c>
      <c r="F72" s="18" t="str">
        <f t="shared" si="4"/>
        <v>(DOS MIL SEISCIENTOS  PESOS  00/100 M.N.)</v>
      </c>
      <c r="I72" s="57"/>
      <c r="K72" s="34"/>
    </row>
    <row r="73" spans="2:11" ht="15" x14ac:dyDescent="0.25">
      <c r="C73" s="149">
        <v>10.4</v>
      </c>
      <c r="D73" s="32">
        <f>I22</f>
        <v>2700</v>
      </c>
      <c r="E73" s="58">
        <v>2700</v>
      </c>
      <c r="F73" s="18" t="str">
        <f t="shared" si="4"/>
        <v>(DOS MIL SETECIENTOS  PESOS  00/100 M.N.)</v>
      </c>
      <c r="I73" s="57"/>
      <c r="K73" s="34"/>
    </row>
    <row r="74" spans="2:11" ht="15" x14ac:dyDescent="0.25">
      <c r="C74" s="149">
        <v>11.1</v>
      </c>
      <c r="D74" s="32">
        <f>F23</f>
        <v>2800</v>
      </c>
      <c r="E74" s="58">
        <v>2800</v>
      </c>
      <c r="F74" s="18" t="str">
        <f t="shared" si="4"/>
        <v>(DOS MIL OCHOCIENTOS  PESOS  00/100 M.N.)</v>
      </c>
      <c r="I74" s="57"/>
      <c r="K74" s="34"/>
    </row>
    <row r="75" spans="2:11" ht="15" x14ac:dyDescent="0.25">
      <c r="C75" s="149">
        <v>11.2</v>
      </c>
      <c r="D75" s="32">
        <f>G23</f>
        <v>2900</v>
      </c>
      <c r="E75" s="58">
        <v>2900</v>
      </c>
      <c r="F75" s="18" t="str">
        <f t="shared" si="4"/>
        <v>(DOS MIL NOVECIENTOS  PESOS  00/100 M.N.)</v>
      </c>
      <c r="I75" s="57"/>
      <c r="K75" s="34"/>
    </row>
    <row r="76" spans="2:11" ht="15" x14ac:dyDescent="0.25">
      <c r="C76" s="149">
        <v>11.3</v>
      </c>
      <c r="D76" s="32">
        <f>H23</f>
        <v>3000</v>
      </c>
      <c r="E76" s="58">
        <v>3000</v>
      </c>
      <c r="F76" s="18" t="str">
        <f t="shared" si="4"/>
        <v>(TRES MIL  PESOS  00/100 M.N.)</v>
      </c>
      <c r="I76" s="57"/>
      <c r="K76" s="34"/>
    </row>
    <row r="77" spans="2:11" ht="15" x14ac:dyDescent="0.25">
      <c r="C77" s="149">
        <v>11.4</v>
      </c>
      <c r="D77" s="32">
        <f>I23</f>
        <v>3200</v>
      </c>
      <c r="E77" s="58">
        <v>3200</v>
      </c>
      <c r="F77" s="18" t="str">
        <f t="shared" si="4"/>
        <v>(TRES MIL DOSCIENTOS  PESOS  00/100 M.N.)</v>
      </c>
      <c r="I77" s="57"/>
      <c r="K77" s="34"/>
    </row>
    <row r="78" spans="2:11" ht="15" x14ac:dyDescent="0.25">
      <c r="C78" s="149">
        <v>12.1</v>
      </c>
      <c r="D78" s="32">
        <f>F24</f>
        <v>3500</v>
      </c>
      <c r="E78" s="58">
        <v>3500</v>
      </c>
      <c r="F78" s="18" t="str">
        <f t="shared" si="4"/>
        <v>(TRES MIL QUINIENTOS  PESOS  00/100 M.N.)</v>
      </c>
      <c r="I78" s="57"/>
      <c r="K78" s="34"/>
    </row>
    <row r="79" spans="2:11" ht="15" x14ac:dyDescent="0.25">
      <c r="C79" s="149">
        <v>12.2</v>
      </c>
      <c r="D79" s="32">
        <f>G24</f>
        <v>3600</v>
      </c>
      <c r="E79" s="58">
        <v>3600</v>
      </c>
      <c r="F79" s="18" t="str">
        <f t="shared" si="4"/>
        <v>(TRES MIL SEISCIENTOS  PESOS  00/100 M.N.)</v>
      </c>
      <c r="I79" s="57"/>
      <c r="K79" s="34"/>
    </row>
    <row r="80" spans="2:11" ht="15" x14ac:dyDescent="0.25">
      <c r="C80" s="149">
        <v>12.3</v>
      </c>
      <c r="D80" s="32">
        <f>H24</f>
        <v>3700</v>
      </c>
      <c r="E80" s="58">
        <v>3700</v>
      </c>
      <c r="F80" s="18" t="str">
        <f t="shared" si="4"/>
        <v>(TRES MIL SETECIENTOS  PESOS  00/100 M.N.)</v>
      </c>
      <c r="I80" s="57"/>
      <c r="K80" s="34"/>
    </row>
    <row r="81" spans="3:11" ht="15" x14ac:dyDescent="0.25">
      <c r="C81" s="149">
        <v>12.4</v>
      </c>
      <c r="D81" s="32">
        <f>I24</f>
        <v>3900</v>
      </c>
      <c r="E81" s="58">
        <v>3900</v>
      </c>
      <c r="F81" s="18" t="str">
        <f t="shared" si="4"/>
        <v>(TRES MIL NOVECIENTOS  PESOS  00/100 M.N.)</v>
      </c>
      <c r="I81" s="57"/>
      <c r="K81" s="34"/>
    </row>
    <row r="82" spans="3:11" ht="15" x14ac:dyDescent="0.25">
      <c r="C82" s="149">
        <v>13.1</v>
      </c>
      <c r="D82" s="32">
        <f>F25</f>
        <v>4000</v>
      </c>
      <c r="E82" s="58">
        <v>4000</v>
      </c>
      <c r="F82" s="18" t="str">
        <f t="shared" si="4"/>
        <v>(CUATRO MIL  PESOS  00/100 M.N.)</v>
      </c>
      <c r="I82" s="57"/>
      <c r="K82" s="34"/>
    </row>
    <row r="83" spans="3:11" ht="15" x14ac:dyDescent="0.25">
      <c r="C83" s="149">
        <v>13.2</v>
      </c>
      <c r="D83" s="32">
        <f>G25</f>
        <v>4200</v>
      </c>
      <c r="E83" s="58">
        <v>4200</v>
      </c>
      <c r="F83" s="18" t="str">
        <f t="shared" si="4"/>
        <v>(CUATRO MIL DOSCIENTOS  PESOS  00/100 M.N.)</v>
      </c>
      <c r="I83" s="57"/>
      <c r="K83" s="34"/>
    </row>
    <row r="84" spans="3:11" ht="15" x14ac:dyDescent="0.25">
      <c r="C84" s="149">
        <v>13.3</v>
      </c>
      <c r="D84" s="32">
        <f>H25</f>
        <v>4400</v>
      </c>
      <c r="E84" s="58">
        <v>4400</v>
      </c>
      <c r="F84" s="18" t="str">
        <f t="shared" si="4"/>
        <v>(CUATRO MIL CUATROCIENTOS  PESOS  00/100 M.N.)</v>
      </c>
      <c r="I84" s="57"/>
      <c r="K84" s="34"/>
    </row>
    <row r="85" spans="3:11" ht="15" x14ac:dyDescent="0.25">
      <c r="C85" s="149">
        <v>13.4</v>
      </c>
      <c r="D85" s="32">
        <f>I25</f>
        <v>4600</v>
      </c>
      <c r="E85" s="58">
        <v>4600</v>
      </c>
      <c r="F85" s="18" t="str">
        <f t="shared" si="4"/>
        <v>(CUATRO MIL SEISCIENTOS  PESOS  00/100 M.N.)</v>
      </c>
      <c r="I85" s="57"/>
      <c r="K85" s="34"/>
    </row>
    <row r="86" spans="3:11" ht="15" x14ac:dyDescent="0.25">
      <c r="C86" s="149">
        <v>14.1</v>
      </c>
      <c r="D86" s="32">
        <f>F26</f>
        <v>4700</v>
      </c>
      <c r="E86" s="58">
        <v>4700</v>
      </c>
      <c r="F86" s="18" t="str">
        <f t="shared" si="4"/>
        <v>(CUATRO MIL SETECIENTOS  PESOS  00/100 M.N.)</v>
      </c>
      <c r="I86" s="57"/>
      <c r="K86" s="34"/>
    </row>
    <row r="87" spans="3:11" ht="15" x14ac:dyDescent="0.25">
      <c r="C87" s="149">
        <v>14.2</v>
      </c>
      <c r="D87" s="32">
        <f>G26</f>
        <v>4935</v>
      </c>
      <c r="E87" s="58">
        <v>4935</v>
      </c>
      <c r="F87" s="18" t="str">
        <f t="shared" si="4"/>
        <v>(CUATRO MIL NOVECIENTOS TREINTA Y CINCO PESOS  00/100 M.N.)</v>
      </c>
      <c r="I87" s="57"/>
      <c r="K87" s="34"/>
    </row>
    <row r="88" spans="3:11" ht="15" x14ac:dyDescent="0.25">
      <c r="C88" s="149">
        <v>14.3</v>
      </c>
      <c r="D88" s="32">
        <f>H26</f>
        <v>5199.75</v>
      </c>
      <c r="E88" s="58">
        <v>5200</v>
      </c>
      <c r="F88" s="18" t="str">
        <f t="shared" si="4"/>
        <v>(CINCO MIL DOSCIENTOS  PESOS  00/100 M.N.)</v>
      </c>
      <c r="I88" s="57"/>
      <c r="K88" s="34"/>
    </row>
    <row r="89" spans="3:11" ht="15" x14ac:dyDescent="0.25">
      <c r="C89" s="149">
        <v>14.4</v>
      </c>
      <c r="D89" s="32">
        <f>I26</f>
        <v>5449.7375000000002</v>
      </c>
      <c r="E89" s="58">
        <v>5450</v>
      </c>
      <c r="F89" s="18" t="str">
        <f t="shared" si="4"/>
        <v>(CINCO MIL CUATROCIENTOS CINCUENTA  PESOS  00/100 M.N.)</v>
      </c>
      <c r="I89" s="57"/>
      <c r="K89" s="34"/>
    </row>
    <row r="90" spans="3:11" ht="15" x14ac:dyDescent="0.25">
      <c r="C90" s="149">
        <v>15.1</v>
      </c>
      <c r="D90" s="32">
        <f>F27</f>
        <v>5500</v>
      </c>
      <c r="E90" s="58">
        <v>5500</v>
      </c>
      <c r="F90" s="18" t="str">
        <f t="shared" si="4"/>
        <v>(CINCO MIL QUINIENTOS  PESOS  00/100 M.N.)</v>
      </c>
      <c r="I90" s="57"/>
      <c r="K90" s="34"/>
    </row>
    <row r="91" spans="3:11" ht="15" x14ac:dyDescent="0.25">
      <c r="C91" s="149">
        <v>15.2</v>
      </c>
      <c r="D91" s="32">
        <f>G27</f>
        <v>5775</v>
      </c>
      <c r="E91" s="58">
        <v>5775</v>
      </c>
      <c r="F91" s="18" t="str">
        <f t="shared" si="4"/>
        <v>(CINCO MIL SETECIENTOS SETENTA Y CINCO PESOS  00/100 M.N.)</v>
      </c>
      <c r="I91" s="57"/>
      <c r="K91" s="34"/>
    </row>
    <row r="92" spans="3:11" ht="15" x14ac:dyDescent="0.25">
      <c r="C92" s="149">
        <v>15.3</v>
      </c>
      <c r="D92" s="32">
        <f>H27</f>
        <v>6063.75</v>
      </c>
      <c r="E92" s="58">
        <v>6064</v>
      </c>
      <c r="F92" s="18" t="str">
        <f t="shared" si="4"/>
        <v>(SEIS MIL SESENTA Y CUATRO PESOS  00/100 M.N.)</v>
      </c>
      <c r="I92" s="57"/>
      <c r="K92" s="34"/>
    </row>
    <row r="93" spans="3:11" ht="15" x14ac:dyDescent="0.25">
      <c r="C93" s="149">
        <v>15.4</v>
      </c>
      <c r="D93" s="32">
        <f>I27</f>
        <v>6366.9375</v>
      </c>
      <c r="E93" s="58">
        <v>6367</v>
      </c>
      <c r="F93" s="18" t="str">
        <f t="shared" si="4"/>
        <v>(SEIS MIL TRESCIENTOS SESENTA Y SIETE PESOS  00/100 M.N.)</v>
      </c>
      <c r="I93" s="57"/>
      <c r="K93" s="34"/>
    </row>
    <row r="94" spans="3:11" x14ac:dyDescent="0.2">
      <c r="F94" s="18"/>
    </row>
    <row r="95" spans="3:11" x14ac:dyDescent="0.2">
      <c r="F95" s="18"/>
    </row>
    <row r="96" spans="3:11" x14ac:dyDescent="0.2">
      <c r="F96" s="18"/>
    </row>
    <row r="97" spans="6:6" x14ac:dyDescent="0.2">
      <c r="F97" s="18"/>
    </row>
    <row r="98" spans="6:6" x14ac:dyDescent="0.2">
      <c r="F98" s="18"/>
    </row>
    <row r="99" spans="6:6" x14ac:dyDescent="0.2">
      <c r="F99" s="18"/>
    </row>
    <row r="100" spans="6:6" x14ac:dyDescent="0.2">
      <c r="F100" s="18"/>
    </row>
    <row r="101" spans="6:6" x14ac:dyDescent="0.2">
      <c r="F101" s="18"/>
    </row>
    <row r="102" spans="6:6" x14ac:dyDescent="0.2">
      <c r="F102" s="18"/>
    </row>
    <row r="103" spans="6:6" x14ac:dyDescent="0.2">
      <c r="F103" s="18"/>
    </row>
    <row r="104" spans="6:6" x14ac:dyDescent="0.2">
      <c r="F104" s="18"/>
    </row>
    <row r="105" spans="6:6" x14ac:dyDescent="0.2">
      <c r="F105" s="18"/>
    </row>
    <row r="106" spans="6:6" x14ac:dyDescent="0.2">
      <c r="F106" s="18"/>
    </row>
    <row r="107" spans="6:6" x14ac:dyDescent="0.2">
      <c r="F107" s="18"/>
    </row>
    <row r="108" spans="6:6" x14ac:dyDescent="0.2">
      <c r="F108" s="18"/>
    </row>
    <row r="109" spans="6:6" x14ac:dyDescent="0.2">
      <c r="F109" s="18"/>
    </row>
    <row r="110" spans="6:6" x14ac:dyDescent="0.2">
      <c r="F110" s="18"/>
    </row>
    <row r="111" spans="6:6" x14ac:dyDescent="0.2">
      <c r="F111" s="18"/>
    </row>
    <row r="112" spans="6:6" x14ac:dyDescent="0.2">
      <c r="F112" s="18"/>
    </row>
    <row r="113" spans="6:6" x14ac:dyDescent="0.2">
      <c r="F113" s="18"/>
    </row>
    <row r="114" spans="6:6" x14ac:dyDescent="0.2">
      <c r="F114" s="18"/>
    </row>
    <row r="115" spans="6:6" x14ac:dyDescent="0.2">
      <c r="F115" s="18"/>
    </row>
    <row r="116" spans="6:6" x14ac:dyDescent="0.2">
      <c r="F116" s="18"/>
    </row>
    <row r="117" spans="6:6" x14ac:dyDescent="0.2">
      <c r="F117" s="18"/>
    </row>
    <row r="118" spans="6:6" x14ac:dyDescent="0.2">
      <c r="F118" s="18"/>
    </row>
    <row r="119" spans="6:6" x14ac:dyDescent="0.2">
      <c r="F119" s="18"/>
    </row>
    <row r="120" spans="6:6" x14ac:dyDescent="0.2">
      <c r="F120" s="18"/>
    </row>
    <row r="121" spans="6:6" x14ac:dyDescent="0.2">
      <c r="F121" s="18"/>
    </row>
    <row r="122" spans="6:6" x14ac:dyDescent="0.2">
      <c r="F122" s="18"/>
    </row>
    <row r="123" spans="6:6" x14ac:dyDescent="0.2">
      <c r="F123" s="18"/>
    </row>
    <row r="124" spans="6:6" x14ac:dyDescent="0.2">
      <c r="F124" s="18"/>
    </row>
    <row r="125" spans="6:6" x14ac:dyDescent="0.2">
      <c r="F125" s="18"/>
    </row>
    <row r="126" spans="6:6" x14ac:dyDescent="0.2">
      <c r="F126" s="18"/>
    </row>
    <row r="127" spans="6:6" x14ac:dyDescent="0.2">
      <c r="F127" s="18"/>
    </row>
    <row r="128" spans="6:6" x14ac:dyDescent="0.2">
      <c r="F128" s="18"/>
    </row>
    <row r="129" spans="6:6" x14ac:dyDescent="0.2">
      <c r="F129" s="18"/>
    </row>
    <row r="130" spans="6:6" x14ac:dyDescent="0.2">
      <c r="F130" s="18"/>
    </row>
    <row r="131" spans="6:6" x14ac:dyDescent="0.2">
      <c r="F131" s="18"/>
    </row>
    <row r="132" spans="6:6" x14ac:dyDescent="0.2">
      <c r="F132" s="18"/>
    </row>
    <row r="133" spans="6:6" x14ac:dyDescent="0.2">
      <c r="F133" s="18"/>
    </row>
    <row r="134" spans="6:6" x14ac:dyDescent="0.2">
      <c r="F134" s="18"/>
    </row>
    <row r="135" spans="6:6" x14ac:dyDescent="0.2">
      <c r="F135" s="18"/>
    </row>
    <row r="136" spans="6:6" x14ac:dyDescent="0.2">
      <c r="F136" s="18"/>
    </row>
    <row r="137" spans="6:6" x14ac:dyDescent="0.2">
      <c r="F137" s="18"/>
    </row>
    <row r="138" spans="6:6" x14ac:dyDescent="0.2">
      <c r="F138" s="18"/>
    </row>
    <row r="139" spans="6:6" x14ac:dyDescent="0.2">
      <c r="F139" s="18"/>
    </row>
    <row r="140" spans="6:6" x14ac:dyDescent="0.2">
      <c r="F140" s="18"/>
    </row>
    <row r="141" spans="6:6" x14ac:dyDescent="0.2">
      <c r="F141" s="18"/>
    </row>
    <row r="142" spans="6:6" x14ac:dyDescent="0.2">
      <c r="F142" s="18"/>
    </row>
    <row r="143" spans="6:6" x14ac:dyDescent="0.2">
      <c r="F143" s="18"/>
    </row>
    <row r="144" spans="6:6" x14ac:dyDescent="0.2">
      <c r="F144" s="18"/>
    </row>
    <row r="145" spans="6:6" x14ac:dyDescent="0.2">
      <c r="F145" s="18"/>
    </row>
    <row r="146" spans="6:6" x14ac:dyDescent="0.2">
      <c r="F146" s="18"/>
    </row>
    <row r="147" spans="6:6" x14ac:dyDescent="0.2">
      <c r="F147" s="18"/>
    </row>
    <row r="148" spans="6:6" x14ac:dyDescent="0.2">
      <c r="F148" s="18"/>
    </row>
    <row r="149" spans="6:6" x14ac:dyDescent="0.2">
      <c r="F149" s="18"/>
    </row>
    <row r="150" spans="6:6" x14ac:dyDescent="0.2">
      <c r="F150" s="18"/>
    </row>
    <row r="151" spans="6:6" x14ac:dyDescent="0.2">
      <c r="F151" s="18"/>
    </row>
    <row r="152" spans="6:6" x14ac:dyDescent="0.2">
      <c r="F152" s="18"/>
    </row>
    <row r="153" spans="6:6" x14ac:dyDescent="0.2">
      <c r="F153" s="18"/>
    </row>
    <row r="154" spans="6:6" x14ac:dyDescent="0.2">
      <c r="F154" s="18"/>
    </row>
    <row r="155" spans="6:6" x14ac:dyDescent="0.2">
      <c r="F155" s="18"/>
    </row>
    <row r="156" spans="6:6" x14ac:dyDescent="0.2">
      <c r="F156" s="18"/>
    </row>
    <row r="157" spans="6:6" x14ac:dyDescent="0.2">
      <c r="F157" s="18"/>
    </row>
    <row r="158" spans="6:6" x14ac:dyDescent="0.2">
      <c r="F158" s="18"/>
    </row>
    <row r="159" spans="6:6" x14ac:dyDescent="0.2">
      <c r="F159" s="18"/>
    </row>
    <row r="160" spans="6:6" x14ac:dyDescent="0.2">
      <c r="F160" s="18"/>
    </row>
    <row r="161" spans="6:6" x14ac:dyDescent="0.2">
      <c r="F161" s="18"/>
    </row>
    <row r="162" spans="6:6" x14ac:dyDescent="0.2">
      <c r="F162" s="18"/>
    </row>
    <row r="163" spans="6:6" x14ac:dyDescent="0.2">
      <c r="F163" s="18"/>
    </row>
    <row r="164" spans="6:6" x14ac:dyDescent="0.2">
      <c r="F164" s="18"/>
    </row>
    <row r="165" spans="6:6" x14ac:dyDescent="0.2">
      <c r="F165" s="18"/>
    </row>
    <row r="166" spans="6:6" x14ac:dyDescent="0.2">
      <c r="F166" s="18"/>
    </row>
    <row r="167" spans="6:6" x14ac:dyDescent="0.2">
      <c r="F167" s="18"/>
    </row>
    <row r="168" spans="6:6" x14ac:dyDescent="0.2">
      <c r="F168" s="18"/>
    </row>
    <row r="169" spans="6:6" x14ac:dyDescent="0.2">
      <c r="F169" s="18"/>
    </row>
    <row r="170" spans="6:6" x14ac:dyDescent="0.2">
      <c r="F170" s="18"/>
    </row>
    <row r="171" spans="6:6" x14ac:dyDescent="0.2">
      <c r="F171" s="18"/>
    </row>
    <row r="172" spans="6:6" x14ac:dyDescent="0.2">
      <c r="F172" s="18"/>
    </row>
    <row r="173" spans="6:6" x14ac:dyDescent="0.2">
      <c r="F173" s="18"/>
    </row>
    <row r="174" spans="6:6" x14ac:dyDescent="0.2">
      <c r="F174" s="18"/>
    </row>
    <row r="175" spans="6:6" x14ac:dyDescent="0.2">
      <c r="F175" s="18"/>
    </row>
    <row r="176" spans="6:6" x14ac:dyDescent="0.2">
      <c r="F176" s="18"/>
    </row>
    <row r="177" spans="6:6" x14ac:dyDescent="0.2">
      <c r="F177" s="18"/>
    </row>
    <row r="178" spans="6:6" x14ac:dyDescent="0.2">
      <c r="F178" s="18"/>
    </row>
    <row r="179" spans="6:6" x14ac:dyDescent="0.2">
      <c r="F179" s="18"/>
    </row>
    <row r="180" spans="6:6" x14ac:dyDescent="0.2">
      <c r="F180" s="18"/>
    </row>
    <row r="181" spans="6:6" x14ac:dyDescent="0.2">
      <c r="F181" s="18"/>
    </row>
    <row r="182" spans="6:6" x14ac:dyDescent="0.2">
      <c r="F182" s="18"/>
    </row>
    <row r="183" spans="6:6" x14ac:dyDescent="0.2">
      <c r="F183" s="18"/>
    </row>
    <row r="184" spans="6:6" x14ac:dyDescent="0.2">
      <c r="F184" s="18"/>
    </row>
    <row r="185" spans="6:6" x14ac:dyDescent="0.2">
      <c r="F185" s="18"/>
    </row>
    <row r="186" spans="6:6" x14ac:dyDescent="0.2">
      <c r="F186" s="18"/>
    </row>
    <row r="187" spans="6:6" x14ac:dyDescent="0.2">
      <c r="F187" s="18"/>
    </row>
    <row r="188" spans="6:6" x14ac:dyDescent="0.2">
      <c r="F188" s="18"/>
    </row>
    <row r="189" spans="6:6" x14ac:dyDescent="0.2">
      <c r="F189" s="18"/>
    </row>
    <row r="190" spans="6:6" x14ac:dyDescent="0.2">
      <c r="F190" s="18"/>
    </row>
    <row r="191" spans="6:6" x14ac:dyDescent="0.2">
      <c r="F191" s="18"/>
    </row>
    <row r="192" spans="6:6" x14ac:dyDescent="0.2">
      <c r="F192" s="18"/>
    </row>
    <row r="193" spans="6:6" x14ac:dyDescent="0.2">
      <c r="F193" s="18"/>
    </row>
    <row r="194" spans="6:6" x14ac:dyDescent="0.2">
      <c r="F194" s="18"/>
    </row>
    <row r="195" spans="6:6" x14ac:dyDescent="0.2">
      <c r="F195" s="18"/>
    </row>
    <row r="196" spans="6:6" x14ac:dyDescent="0.2">
      <c r="F196" s="18"/>
    </row>
    <row r="197" spans="6:6" x14ac:dyDescent="0.2">
      <c r="F197" s="18"/>
    </row>
    <row r="198" spans="6:6" x14ac:dyDescent="0.2">
      <c r="F198" s="18"/>
    </row>
    <row r="199" spans="6:6" x14ac:dyDescent="0.2">
      <c r="F199" s="18"/>
    </row>
    <row r="200" spans="6:6" x14ac:dyDescent="0.2">
      <c r="F200" s="18"/>
    </row>
    <row r="201" spans="6:6" x14ac:dyDescent="0.2">
      <c r="F201" s="18"/>
    </row>
    <row r="202" spans="6:6" x14ac:dyDescent="0.2">
      <c r="F202" s="18"/>
    </row>
    <row r="203" spans="6:6" x14ac:dyDescent="0.2">
      <c r="F203" s="18"/>
    </row>
    <row r="204" spans="6:6" x14ac:dyDescent="0.2">
      <c r="F204" s="18"/>
    </row>
    <row r="205" spans="6:6" x14ac:dyDescent="0.2">
      <c r="F205" s="18"/>
    </row>
    <row r="206" spans="6:6" x14ac:dyDescent="0.2">
      <c r="F206" s="18"/>
    </row>
    <row r="207" spans="6:6" x14ac:dyDescent="0.2">
      <c r="F207" s="18"/>
    </row>
    <row r="208" spans="6:6" x14ac:dyDescent="0.2">
      <c r="F208" s="18"/>
    </row>
    <row r="209" spans="6:6" x14ac:dyDescent="0.2">
      <c r="F209" s="18"/>
    </row>
    <row r="210" spans="6:6" x14ac:dyDescent="0.2">
      <c r="F210" s="18"/>
    </row>
    <row r="211" spans="6:6" x14ac:dyDescent="0.2">
      <c r="F211" s="18"/>
    </row>
    <row r="212" spans="6:6" x14ac:dyDescent="0.2">
      <c r="F212" s="18"/>
    </row>
    <row r="213" spans="6:6" x14ac:dyDescent="0.2">
      <c r="F213" s="18"/>
    </row>
    <row r="214" spans="6:6" x14ac:dyDescent="0.2">
      <c r="F214" s="18"/>
    </row>
    <row r="215" spans="6:6" x14ac:dyDescent="0.2">
      <c r="F215" s="18"/>
    </row>
    <row r="216" spans="6:6" x14ac:dyDescent="0.2">
      <c r="F216" s="18"/>
    </row>
    <row r="217" spans="6:6" x14ac:dyDescent="0.2">
      <c r="F217" s="18"/>
    </row>
    <row r="218" spans="6:6" x14ac:dyDescent="0.2">
      <c r="F218" s="18"/>
    </row>
    <row r="219" spans="6:6" x14ac:dyDescent="0.2">
      <c r="F219" s="18"/>
    </row>
    <row r="220" spans="6:6" x14ac:dyDescent="0.2">
      <c r="F220" s="18"/>
    </row>
    <row r="221" spans="6:6" x14ac:dyDescent="0.2">
      <c r="F221" s="18"/>
    </row>
    <row r="222" spans="6:6" x14ac:dyDescent="0.2">
      <c r="F222" s="18"/>
    </row>
    <row r="223" spans="6:6" x14ac:dyDescent="0.2">
      <c r="F223" s="18"/>
    </row>
    <row r="224" spans="6:6" x14ac:dyDescent="0.2">
      <c r="F224" s="18"/>
    </row>
    <row r="225" spans="6:6" x14ac:dyDescent="0.2">
      <c r="F225" s="18"/>
    </row>
    <row r="226" spans="6:6" x14ac:dyDescent="0.2">
      <c r="F226" s="18"/>
    </row>
    <row r="227" spans="6:6" x14ac:dyDescent="0.2">
      <c r="F227" s="18"/>
    </row>
    <row r="228" spans="6:6" x14ac:dyDescent="0.2">
      <c r="F228" s="18"/>
    </row>
    <row r="229" spans="6:6" x14ac:dyDescent="0.2">
      <c r="F229" s="18"/>
    </row>
    <row r="230" spans="6:6" x14ac:dyDescent="0.2">
      <c r="F230" s="18"/>
    </row>
    <row r="231" spans="6:6" x14ac:dyDescent="0.2">
      <c r="F231" s="18"/>
    </row>
    <row r="232" spans="6:6" x14ac:dyDescent="0.2">
      <c r="F232" s="18"/>
    </row>
    <row r="233" spans="6:6" x14ac:dyDescent="0.2">
      <c r="F233" s="18"/>
    </row>
    <row r="234" spans="6:6" x14ac:dyDescent="0.2">
      <c r="F234" s="18"/>
    </row>
    <row r="235" spans="6:6" x14ac:dyDescent="0.2">
      <c r="F235" s="18"/>
    </row>
    <row r="236" spans="6:6" x14ac:dyDescent="0.2">
      <c r="F236" s="18"/>
    </row>
    <row r="237" spans="6:6" x14ac:dyDescent="0.2">
      <c r="F237" s="18"/>
    </row>
    <row r="238" spans="6:6" x14ac:dyDescent="0.2">
      <c r="F238" s="18"/>
    </row>
    <row r="239" spans="6:6" x14ac:dyDescent="0.2">
      <c r="F239" s="18"/>
    </row>
    <row r="240" spans="6:6" x14ac:dyDescent="0.2">
      <c r="F240" s="18"/>
    </row>
    <row r="241" spans="6:6" x14ac:dyDescent="0.2">
      <c r="F241" s="18"/>
    </row>
    <row r="242" spans="6:6" x14ac:dyDescent="0.2">
      <c r="F242" s="18"/>
    </row>
    <row r="243" spans="6:6" x14ac:dyDescent="0.2">
      <c r="F243" s="18"/>
    </row>
    <row r="244" spans="6:6" x14ac:dyDescent="0.2">
      <c r="F244" s="18"/>
    </row>
    <row r="245" spans="6:6" x14ac:dyDescent="0.2">
      <c r="F245" s="18"/>
    </row>
    <row r="246" spans="6:6" x14ac:dyDescent="0.2">
      <c r="F246" s="18"/>
    </row>
    <row r="247" spans="6:6" x14ac:dyDescent="0.2">
      <c r="F247" s="18"/>
    </row>
    <row r="248" spans="6:6" x14ac:dyDescent="0.2">
      <c r="F248" s="18"/>
    </row>
    <row r="249" spans="6:6" x14ac:dyDescent="0.2">
      <c r="F249" s="18"/>
    </row>
    <row r="250" spans="6:6" x14ac:dyDescent="0.2">
      <c r="F250" s="18"/>
    </row>
    <row r="251" spans="6:6" x14ac:dyDescent="0.2">
      <c r="F251" s="18"/>
    </row>
    <row r="252" spans="6:6" x14ac:dyDescent="0.2">
      <c r="F252" s="18"/>
    </row>
    <row r="253" spans="6:6" x14ac:dyDescent="0.2">
      <c r="F253" s="18"/>
    </row>
    <row r="254" spans="6:6" x14ac:dyDescent="0.2">
      <c r="F254" s="18"/>
    </row>
    <row r="255" spans="6:6" x14ac:dyDescent="0.2">
      <c r="F255" s="18"/>
    </row>
    <row r="256" spans="6:6" x14ac:dyDescent="0.2">
      <c r="F256" s="18"/>
    </row>
    <row r="257" spans="6:6" x14ac:dyDescent="0.2">
      <c r="F257" s="18"/>
    </row>
    <row r="258" spans="6:6" x14ac:dyDescent="0.2">
      <c r="F258" s="18"/>
    </row>
    <row r="259" spans="6:6" x14ac:dyDescent="0.2">
      <c r="F259" s="18"/>
    </row>
    <row r="260" spans="6:6" x14ac:dyDescent="0.2">
      <c r="F260" s="18"/>
    </row>
    <row r="261" spans="6:6" x14ac:dyDescent="0.2">
      <c r="F261" s="18"/>
    </row>
    <row r="262" spans="6:6" x14ac:dyDescent="0.2">
      <c r="F262" s="18"/>
    </row>
    <row r="263" spans="6:6" x14ac:dyDescent="0.2">
      <c r="F263" s="18"/>
    </row>
    <row r="264" spans="6:6" x14ac:dyDescent="0.2">
      <c r="F264" s="18"/>
    </row>
    <row r="265" spans="6:6" x14ac:dyDescent="0.2">
      <c r="F265" s="18"/>
    </row>
    <row r="266" spans="6:6" x14ac:dyDescent="0.2">
      <c r="F266" s="18"/>
    </row>
    <row r="267" spans="6:6" x14ac:dyDescent="0.2">
      <c r="F267" s="18"/>
    </row>
    <row r="268" spans="6:6" x14ac:dyDescent="0.2">
      <c r="F268" s="18"/>
    </row>
    <row r="269" spans="6:6" x14ac:dyDescent="0.2">
      <c r="F269" s="18"/>
    </row>
    <row r="270" spans="6:6" x14ac:dyDescent="0.2">
      <c r="F270" s="18"/>
    </row>
    <row r="271" spans="6:6" x14ac:dyDescent="0.2">
      <c r="F271" s="18"/>
    </row>
    <row r="272" spans="6:6" x14ac:dyDescent="0.2">
      <c r="F272" s="18"/>
    </row>
    <row r="273" spans="6:6" x14ac:dyDescent="0.2">
      <c r="F273" s="18"/>
    </row>
    <row r="274" spans="6:6" x14ac:dyDescent="0.2">
      <c r="F274" s="18"/>
    </row>
    <row r="275" spans="6:6" x14ac:dyDescent="0.2">
      <c r="F275" s="18"/>
    </row>
    <row r="276" spans="6:6" x14ac:dyDescent="0.2">
      <c r="F276" s="18"/>
    </row>
    <row r="277" spans="6:6" x14ac:dyDescent="0.2">
      <c r="F277" s="18"/>
    </row>
    <row r="278" spans="6:6" x14ac:dyDescent="0.2">
      <c r="F278" s="18"/>
    </row>
    <row r="279" spans="6:6" x14ac:dyDescent="0.2">
      <c r="F279" s="18"/>
    </row>
    <row r="280" spans="6:6" x14ac:dyDescent="0.2">
      <c r="F280" s="18"/>
    </row>
    <row r="281" spans="6:6" x14ac:dyDescent="0.2">
      <c r="F281" s="18"/>
    </row>
    <row r="282" spans="6:6" x14ac:dyDescent="0.2">
      <c r="F282" s="18"/>
    </row>
    <row r="283" spans="6:6" x14ac:dyDescent="0.2">
      <c r="F283" s="18"/>
    </row>
    <row r="284" spans="6:6" x14ac:dyDescent="0.2">
      <c r="F284" s="18"/>
    </row>
    <row r="285" spans="6:6" x14ac:dyDescent="0.2">
      <c r="F285" s="18"/>
    </row>
    <row r="286" spans="6:6" x14ac:dyDescent="0.2">
      <c r="F286" s="18"/>
    </row>
    <row r="287" spans="6:6" x14ac:dyDescent="0.2">
      <c r="F287" s="18"/>
    </row>
    <row r="288" spans="6:6" x14ac:dyDescent="0.2">
      <c r="F288" s="18"/>
    </row>
    <row r="289" spans="6:6" x14ac:dyDescent="0.2">
      <c r="F289" s="18"/>
    </row>
    <row r="290" spans="6:6" x14ac:dyDescent="0.2">
      <c r="F290" s="18"/>
    </row>
    <row r="291" spans="6:6" x14ac:dyDescent="0.2">
      <c r="F291" s="18"/>
    </row>
    <row r="292" spans="6:6" x14ac:dyDescent="0.2">
      <c r="F292" s="18"/>
    </row>
    <row r="293" spans="6:6" x14ac:dyDescent="0.2">
      <c r="F293" s="18"/>
    </row>
    <row r="294" spans="6:6" x14ac:dyDescent="0.2">
      <c r="F294" s="18"/>
    </row>
    <row r="295" spans="6:6" x14ac:dyDescent="0.2">
      <c r="F295" s="18"/>
    </row>
    <row r="296" spans="6:6" x14ac:dyDescent="0.2">
      <c r="F296" s="18"/>
    </row>
    <row r="297" spans="6:6" x14ac:dyDescent="0.2">
      <c r="F297" s="18"/>
    </row>
    <row r="298" spans="6:6" x14ac:dyDescent="0.2">
      <c r="F298" s="18"/>
    </row>
    <row r="299" spans="6:6" x14ac:dyDescent="0.2">
      <c r="F299" s="18"/>
    </row>
    <row r="300" spans="6:6" x14ac:dyDescent="0.2">
      <c r="F300" s="18"/>
    </row>
    <row r="301" spans="6:6" x14ac:dyDescent="0.2">
      <c r="F301" s="18"/>
    </row>
    <row r="302" spans="6:6" x14ac:dyDescent="0.2">
      <c r="F302" s="18"/>
    </row>
    <row r="303" spans="6:6" x14ac:dyDescent="0.2">
      <c r="F303" s="18"/>
    </row>
    <row r="304" spans="6:6" x14ac:dyDescent="0.2">
      <c r="F304" s="18"/>
    </row>
    <row r="305" spans="6:6" x14ac:dyDescent="0.2">
      <c r="F305" s="18"/>
    </row>
    <row r="306" spans="6:6" x14ac:dyDescent="0.2">
      <c r="F306" s="18"/>
    </row>
    <row r="307" spans="6:6" x14ac:dyDescent="0.2">
      <c r="F307" s="18"/>
    </row>
    <row r="308" spans="6:6" x14ac:dyDescent="0.2">
      <c r="F308" s="18"/>
    </row>
    <row r="309" spans="6:6" x14ac:dyDescent="0.2">
      <c r="F309" s="18"/>
    </row>
    <row r="310" spans="6:6" x14ac:dyDescent="0.2">
      <c r="F310" s="18"/>
    </row>
    <row r="311" spans="6:6" x14ac:dyDescent="0.2">
      <c r="F311" s="18"/>
    </row>
    <row r="312" spans="6:6" x14ac:dyDescent="0.2">
      <c r="F312" s="18"/>
    </row>
    <row r="313" spans="6:6" x14ac:dyDescent="0.2">
      <c r="F313" s="18"/>
    </row>
    <row r="314" spans="6:6" x14ac:dyDescent="0.2">
      <c r="F314" s="18"/>
    </row>
    <row r="315" spans="6:6" x14ac:dyDescent="0.2">
      <c r="F315" s="18"/>
    </row>
    <row r="316" spans="6:6" x14ac:dyDescent="0.2">
      <c r="F316" s="18"/>
    </row>
    <row r="317" spans="6:6" x14ac:dyDescent="0.2">
      <c r="F317" s="18"/>
    </row>
    <row r="318" spans="6:6" x14ac:dyDescent="0.2">
      <c r="F318" s="18"/>
    </row>
    <row r="319" spans="6:6" x14ac:dyDescent="0.2">
      <c r="F319" s="18"/>
    </row>
    <row r="320" spans="6:6" x14ac:dyDescent="0.2">
      <c r="F320" s="18"/>
    </row>
    <row r="321" spans="6:6" x14ac:dyDescent="0.2">
      <c r="F321" s="18"/>
    </row>
    <row r="322" spans="6:6" x14ac:dyDescent="0.2">
      <c r="F322" s="18"/>
    </row>
    <row r="323" spans="6:6" x14ac:dyDescent="0.2">
      <c r="F323" s="18"/>
    </row>
    <row r="324" spans="6:6" x14ac:dyDescent="0.2">
      <c r="F324" s="18"/>
    </row>
    <row r="325" spans="6:6" x14ac:dyDescent="0.2">
      <c r="F325" s="18"/>
    </row>
    <row r="326" spans="6:6" x14ac:dyDescent="0.2">
      <c r="F326" s="18"/>
    </row>
    <row r="327" spans="6:6" x14ac:dyDescent="0.2">
      <c r="F327" s="18"/>
    </row>
    <row r="328" spans="6:6" x14ac:dyDescent="0.2">
      <c r="F328" s="18"/>
    </row>
    <row r="329" spans="6:6" x14ac:dyDescent="0.2">
      <c r="F329" s="18"/>
    </row>
    <row r="330" spans="6:6" x14ac:dyDescent="0.2">
      <c r="F330" s="18"/>
    </row>
    <row r="331" spans="6:6" x14ac:dyDescent="0.2">
      <c r="F331" s="18"/>
    </row>
    <row r="332" spans="6:6" x14ac:dyDescent="0.2">
      <c r="F332" s="18"/>
    </row>
    <row r="333" spans="6:6" x14ac:dyDescent="0.2">
      <c r="F333" s="18"/>
    </row>
    <row r="334" spans="6:6" x14ac:dyDescent="0.2">
      <c r="F334" s="18"/>
    </row>
    <row r="335" spans="6:6" x14ac:dyDescent="0.2">
      <c r="F335" s="18"/>
    </row>
    <row r="336" spans="6:6" x14ac:dyDescent="0.2">
      <c r="F336" s="18"/>
    </row>
    <row r="337" spans="6:6" x14ac:dyDescent="0.2">
      <c r="F337" s="18"/>
    </row>
    <row r="338" spans="6:6" x14ac:dyDescent="0.2">
      <c r="F338" s="18"/>
    </row>
    <row r="339" spans="6:6" x14ac:dyDescent="0.2">
      <c r="F339" s="18"/>
    </row>
    <row r="340" spans="6:6" x14ac:dyDescent="0.2">
      <c r="F340" s="18"/>
    </row>
    <row r="341" spans="6:6" x14ac:dyDescent="0.2">
      <c r="F341" s="18"/>
    </row>
    <row r="342" spans="6:6" x14ac:dyDescent="0.2">
      <c r="F342" s="18"/>
    </row>
    <row r="343" spans="6:6" x14ac:dyDescent="0.2">
      <c r="F343" s="18"/>
    </row>
    <row r="344" spans="6:6" x14ac:dyDescent="0.2">
      <c r="F344" s="18"/>
    </row>
    <row r="345" spans="6:6" x14ac:dyDescent="0.2">
      <c r="F345" s="18"/>
    </row>
    <row r="346" spans="6:6" x14ac:dyDescent="0.2">
      <c r="F346" s="18"/>
    </row>
    <row r="347" spans="6:6" x14ac:dyDescent="0.2">
      <c r="F347" s="18"/>
    </row>
    <row r="348" spans="6:6" x14ac:dyDescent="0.2">
      <c r="F348" s="18"/>
    </row>
    <row r="349" spans="6:6" x14ac:dyDescent="0.2">
      <c r="F349" s="18"/>
    </row>
    <row r="350" spans="6:6" x14ac:dyDescent="0.2">
      <c r="F350" s="18"/>
    </row>
    <row r="351" spans="6:6" x14ac:dyDescent="0.2">
      <c r="F351" s="18"/>
    </row>
    <row r="352" spans="6:6" x14ac:dyDescent="0.2">
      <c r="F352" s="18"/>
    </row>
    <row r="353" spans="6:6" x14ac:dyDescent="0.2">
      <c r="F353" s="18"/>
    </row>
    <row r="354" spans="6:6" x14ac:dyDescent="0.2">
      <c r="F354" s="18"/>
    </row>
    <row r="355" spans="6:6" x14ac:dyDescent="0.2">
      <c r="F355" s="18"/>
    </row>
    <row r="356" spans="6:6" x14ac:dyDescent="0.2">
      <c r="F356" s="18"/>
    </row>
    <row r="357" spans="6:6" x14ac:dyDescent="0.2">
      <c r="F357" s="18"/>
    </row>
    <row r="358" spans="6:6" x14ac:dyDescent="0.2">
      <c r="F358" s="18"/>
    </row>
    <row r="359" spans="6:6" x14ac:dyDescent="0.2">
      <c r="F359" s="18"/>
    </row>
    <row r="360" spans="6:6" x14ac:dyDescent="0.2">
      <c r="F360" s="18"/>
    </row>
    <row r="361" spans="6:6" x14ac:dyDescent="0.2">
      <c r="F361" s="18"/>
    </row>
    <row r="362" spans="6:6" x14ac:dyDescent="0.2">
      <c r="F362" s="18"/>
    </row>
    <row r="363" spans="6:6" x14ac:dyDescent="0.2">
      <c r="F363" s="18"/>
    </row>
    <row r="364" spans="6:6" x14ac:dyDescent="0.2">
      <c r="F364" s="18"/>
    </row>
    <row r="365" spans="6:6" x14ac:dyDescent="0.2">
      <c r="F365" s="18"/>
    </row>
    <row r="366" spans="6:6" x14ac:dyDescent="0.2">
      <c r="F366" s="18"/>
    </row>
    <row r="367" spans="6:6" x14ac:dyDescent="0.2">
      <c r="F367" s="18"/>
    </row>
    <row r="368" spans="6:6" x14ac:dyDescent="0.2">
      <c r="F368" s="18"/>
    </row>
    <row r="369" spans="6:6" x14ac:dyDescent="0.2">
      <c r="F369" s="18"/>
    </row>
    <row r="370" spans="6:6" x14ac:dyDescent="0.2">
      <c r="F370" s="18"/>
    </row>
    <row r="371" spans="6:6" x14ac:dyDescent="0.2">
      <c r="F371" s="18"/>
    </row>
    <row r="372" spans="6:6" x14ac:dyDescent="0.2">
      <c r="F372" s="18"/>
    </row>
    <row r="373" spans="6:6" x14ac:dyDescent="0.2">
      <c r="F373" s="18"/>
    </row>
    <row r="374" spans="6:6" x14ac:dyDescent="0.2">
      <c r="F374" s="18"/>
    </row>
    <row r="375" spans="6:6" x14ac:dyDescent="0.2">
      <c r="F375" s="18"/>
    </row>
    <row r="376" spans="6:6" x14ac:dyDescent="0.2">
      <c r="F376" s="18"/>
    </row>
    <row r="377" spans="6:6" x14ac:dyDescent="0.2">
      <c r="F377" s="18"/>
    </row>
    <row r="378" spans="6:6" x14ac:dyDescent="0.2">
      <c r="F378" s="18"/>
    </row>
    <row r="379" spans="6:6" x14ac:dyDescent="0.2">
      <c r="F379" s="18"/>
    </row>
    <row r="380" spans="6:6" x14ac:dyDescent="0.2">
      <c r="F380" s="18"/>
    </row>
    <row r="381" spans="6:6" x14ac:dyDescent="0.2">
      <c r="F381" s="18"/>
    </row>
    <row r="382" spans="6:6" x14ac:dyDescent="0.2">
      <c r="F382" s="18"/>
    </row>
    <row r="383" spans="6:6" x14ac:dyDescent="0.2">
      <c r="F383" s="18"/>
    </row>
    <row r="384" spans="6:6" x14ac:dyDescent="0.2">
      <c r="F384" s="18"/>
    </row>
    <row r="385" spans="6:6" x14ac:dyDescent="0.2">
      <c r="F385" s="18"/>
    </row>
    <row r="386" spans="6:6" x14ac:dyDescent="0.2">
      <c r="F386" s="18"/>
    </row>
    <row r="387" spans="6:6" x14ac:dyDescent="0.2">
      <c r="F387" s="18"/>
    </row>
    <row r="388" spans="6:6" x14ac:dyDescent="0.2">
      <c r="F388" s="18"/>
    </row>
    <row r="389" spans="6:6" x14ac:dyDescent="0.2">
      <c r="F389" s="18"/>
    </row>
    <row r="390" spans="6:6" x14ac:dyDescent="0.2">
      <c r="F390" s="18"/>
    </row>
    <row r="391" spans="6:6" x14ac:dyDescent="0.2">
      <c r="F391" s="18"/>
    </row>
    <row r="392" spans="6:6" x14ac:dyDescent="0.2">
      <c r="F392" s="18"/>
    </row>
    <row r="393" spans="6:6" x14ac:dyDescent="0.2">
      <c r="F393" s="18"/>
    </row>
    <row r="394" spans="6:6" x14ac:dyDescent="0.2">
      <c r="F394" s="18"/>
    </row>
    <row r="395" spans="6:6" x14ac:dyDescent="0.2">
      <c r="F395" s="18"/>
    </row>
    <row r="396" spans="6:6" x14ac:dyDescent="0.2">
      <c r="F396" s="18"/>
    </row>
    <row r="397" spans="6:6" x14ac:dyDescent="0.2">
      <c r="F397" s="18"/>
    </row>
    <row r="398" spans="6:6" x14ac:dyDescent="0.2">
      <c r="F398" s="18"/>
    </row>
    <row r="399" spans="6:6" x14ac:dyDescent="0.2">
      <c r="F399" s="18"/>
    </row>
    <row r="400" spans="6:6" x14ac:dyDescent="0.2">
      <c r="F400" s="18"/>
    </row>
    <row r="401" spans="6:6" x14ac:dyDescent="0.2">
      <c r="F401" s="18"/>
    </row>
    <row r="402" spans="6:6" x14ac:dyDescent="0.2">
      <c r="F402" s="18"/>
    </row>
    <row r="403" spans="6:6" x14ac:dyDescent="0.2">
      <c r="F403" s="18"/>
    </row>
    <row r="404" spans="6:6" x14ac:dyDescent="0.2">
      <c r="F404" s="18"/>
    </row>
    <row r="405" spans="6:6" x14ac:dyDescent="0.2">
      <c r="F405" s="18"/>
    </row>
    <row r="406" spans="6:6" x14ac:dyDescent="0.2">
      <c r="F406" s="18"/>
    </row>
    <row r="407" spans="6:6" x14ac:dyDescent="0.2">
      <c r="F407" s="18"/>
    </row>
    <row r="408" spans="6:6" x14ac:dyDescent="0.2">
      <c r="F408" s="18"/>
    </row>
    <row r="409" spans="6:6" x14ac:dyDescent="0.2">
      <c r="F409" s="18"/>
    </row>
    <row r="410" spans="6:6" x14ac:dyDescent="0.2">
      <c r="F410" s="18"/>
    </row>
    <row r="411" spans="6:6" x14ac:dyDescent="0.2">
      <c r="F411" s="18"/>
    </row>
    <row r="412" spans="6:6" x14ac:dyDescent="0.2">
      <c r="F412" s="18"/>
    </row>
    <row r="413" spans="6:6" x14ac:dyDescent="0.2">
      <c r="F413" s="18"/>
    </row>
    <row r="414" spans="6:6" x14ac:dyDescent="0.2">
      <c r="F414" s="18"/>
    </row>
    <row r="415" spans="6:6" x14ac:dyDescent="0.2">
      <c r="F415" s="18"/>
    </row>
    <row r="416" spans="6:6" x14ac:dyDescent="0.2">
      <c r="F416" s="18"/>
    </row>
    <row r="417" spans="6:6" x14ac:dyDescent="0.2">
      <c r="F417" s="18"/>
    </row>
    <row r="418" spans="6:6" x14ac:dyDescent="0.2">
      <c r="F418" s="18"/>
    </row>
    <row r="419" spans="6:6" x14ac:dyDescent="0.2">
      <c r="F419" s="18"/>
    </row>
    <row r="420" spans="6:6" x14ac:dyDescent="0.2">
      <c r="F420" s="18"/>
    </row>
    <row r="421" spans="6:6" x14ac:dyDescent="0.2">
      <c r="F421" s="18"/>
    </row>
    <row r="422" spans="6:6" x14ac:dyDescent="0.2">
      <c r="F422" s="18"/>
    </row>
    <row r="423" spans="6:6" x14ac:dyDescent="0.2">
      <c r="F423" s="18"/>
    </row>
    <row r="424" spans="6:6" x14ac:dyDescent="0.2">
      <c r="F424" s="18"/>
    </row>
    <row r="425" spans="6:6" x14ac:dyDescent="0.2">
      <c r="F425" s="18"/>
    </row>
    <row r="426" spans="6:6" x14ac:dyDescent="0.2">
      <c r="F426" s="18"/>
    </row>
    <row r="427" spans="6:6" x14ac:dyDescent="0.2">
      <c r="F427" s="18"/>
    </row>
    <row r="428" spans="6:6" x14ac:dyDescent="0.2">
      <c r="F428" s="18"/>
    </row>
    <row r="429" spans="6:6" x14ac:dyDescent="0.2">
      <c r="F429" s="18"/>
    </row>
    <row r="430" spans="6:6" x14ac:dyDescent="0.2">
      <c r="F430" s="18"/>
    </row>
    <row r="431" spans="6:6" x14ac:dyDescent="0.2">
      <c r="F431" s="18"/>
    </row>
    <row r="432" spans="6:6" x14ac:dyDescent="0.2">
      <c r="F432" s="18"/>
    </row>
    <row r="433" spans="6:6" x14ac:dyDescent="0.2">
      <c r="F433" s="18"/>
    </row>
    <row r="434" spans="6:6" x14ac:dyDescent="0.2">
      <c r="F434" s="18"/>
    </row>
    <row r="435" spans="6:6" x14ac:dyDescent="0.2">
      <c r="F435" s="18"/>
    </row>
    <row r="436" spans="6:6" x14ac:dyDescent="0.2">
      <c r="F436" s="18"/>
    </row>
    <row r="437" spans="6:6" x14ac:dyDescent="0.2">
      <c r="F437" s="18"/>
    </row>
    <row r="438" spans="6:6" x14ac:dyDescent="0.2">
      <c r="F438" s="18"/>
    </row>
    <row r="439" spans="6:6" x14ac:dyDescent="0.2">
      <c r="F439" s="18"/>
    </row>
    <row r="440" spans="6:6" x14ac:dyDescent="0.2">
      <c r="F440" s="18"/>
    </row>
    <row r="441" spans="6:6" x14ac:dyDescent="0.2">
      <c r="F441" s="18"/>
    </row>
    <row r="442" spans="6:6" x14ac:dyDescent="0.2">
      <c r="F442" s="18"/>
    </row>
    <row r="443" spans="6:6" x14ac:dyDescent="0.2">
      <c r="F443" s="18"/>
    </row>
    <row r="444" spans="6:6" x14ac:dyDescent="0.2">
      <c r="F444" s="18"/>
    </row>
    <row r="445" spans="6:6" x14ac:dyDescent="0.2">
      <c r="F445" s="18"/>
    </row>
    <row r="446" spans="6:6" x14ac:dyDescent="0.2">
      <c r="F446" s="18"/>
    </row>
    <row r="447" spans="6:6" x14ac:dyDescent="0.2">
      <c r="F447" s="18"/>
    </row>
    <row r="448" spans="6:6" x14ac:dyDescent="0.2">
      <c r="F448" s="18"/>
    </row>
    <row r="449" spans="6:6" x14ac:dyDescent="0.2">
      <c r="F449" s="18"/>
    </row>
    <row r="450" spans="6:6" x14ac:dyDescent="0.2">
      <c r="F450" s="18"/>
    </row>
    <row r="451" spans="6:6" x14ac:dyDescent="0.2">
      <c r="F451" s="18"/>
    </row>
    <row r="452" spans="6:6" x14ac:dyDescent="0.2">
      <c r="F452" s="18"/>
    </row>
    <row r="453" spans="6:6" x14ac:dyDescent="0.2">
      <c r="F453" s="18"/>
    </row>
    <row r="454" spans="6:6" x14ac:dyDescent="0.2">
      <c r="F454" s="18"/>
    </row>
    <row r="455" spans="6:6" x14ac:dyDescent="0.2">
      <c r="F455" s="18"/>
    </row>
    <row r="456" spans="6:6" x14ac:dyDescent="0.2">
      <c r="F456" s="18"/>
    </row>
    <row r="457" spans="6:6" x14ac:dyDescent="0.2">
      <c r="F457" s="18"/>
    </row>
    <row r="458" spans="6:6" x14ac:dyDescent="0.2">
      <c r="F458" s="18"/>
    </row>
    <row r="459" spans="6:6" x14ac:dyDescent="0.2">
      <c r="F459" s="18"/>
    </row>
    <row r="460" spans="6:6" x14ac:dyDescent="0.2">
      <c r="F460" s="18"/>
    </row>
    <row r="461" spans="6:6" x14ac:dyDescent="0.2">
      <c r="F461" s="18"/>
    </row>
    <row r="462" spans="6:6" x14ac:dyDescent="0.2">
      <c r="F462" s="18"/>
    </row>
    <row r="463" spans="6:6" x14ac:dyDescent="0.2">
      <c r="F463" s="18"/>
    </row>
    <row r="464" spans="6:6" x14ac:dyDescent="0.2">
      <c r="F464" s="18"/>
    </row>
    <row r="465" spans="6:6" x14ac:dyDescent="0.2">
      <c r="F465" s="18"/>
    </row>
    <row r="466" spans="6:6" x14ac:dyDescent="0.2">
      <c r="F466" s="18"/>
    </row>
    <row r="467" spans="6:6" x14ac:dyDescent="0.2">
      <c r="F467" s="18"/>
    </row>
    <row r="468" spans="6:6" x14ac:dyDescent="0.2">
      <c r="F468" s="18"/>
    </row>
    <row r="469" spans="6:6" x14ac:dyDescent="0.2">
      <c r="F469" s="18"/>
    </row>
    <row r="470" spans="6:6" x14ac:dyDescent="0.2">
      <c r="F470" s="18"/>
    </row>
    <row r="471" spans="6:6" x14ac:dyDescent="0.2">
      <c r="F471" s="18"/>
    </row>
    <row r="472" spans="6:6" x14ac:dyDescent="0.2">
      <c r="F472" s="18"/>
    </row>
    <row r="473" spans="6:6" x14ac:dyDescent="0.2">
      <c r="F473" s="18"/>
    </row>
    <row r="474" spans="6:6" x14ac:dyDescent="0.2">
      <c r="F474" s="18"/>
    </row>
    <row r="475" spans="6:6" x14ac:dyDescent="0.2">
      <c r="F475" s="18"/>
    </row>
    <row r="476" spans="6:6" x14ac:dyDescent="0.2">
      <c r="F476" s="18"/>
    </row>
    <row r="477" spans="6:6" x14ac:dyDescent="0.2">
      <c r="F477" s="18"/>
    </row>
    <row r="478" spans="6:6" x14ac:dyDescent="0.2">
      <c r="F478" s="18"/>
    </row>
    <row r="479" spans="6:6" x14ac:dyDescent="0.2">
      <c r="F479" s="18"/>
    </row>
    <row r="480" spans="6:6" x14ac:dyDescent="0.2">
      <c r="F480" s="18"/>
    </row>
    <row r="481" spans="6:6" x14ac:dyDescent="0.2">
      <c r="F481" s="18"/>
    </row>
    <row r="482" spans="6:6" x14ac:dyDescent="0.2">
      <c r="F482" s="18"/>
    </row>
    <row r="483" spans="6:6" x14ac:dyDescent="0.2">
      <c r="F483" s="18"/>
    </row>
    <row r="484" spans="6:6" x14ac:dyDescent="0.2">
      <c r="F484" s="18"/>
    </row>
    <row r="485" spans="6:6" x14ac:dyDescent="0.2">
      <c r="F485" s="18"/>
    </row>
    <row r="486" spans="6:6" x14ac:dyDescent="0.2">
      <c r="F486" s="18"/>
    </row>
    <row r="487" spans="6:6" x14ac:dyDescent="0.2">
      <c r="F487" s="18"/>
    </row>
    <row r="488" spans="6:6" x14ac:dyDescent="0.2">
      <c r="F488" s="18"/>
    </row>
    <row r="489" spans="6:6" x14ac:dyDescent="0.2">
      <c r="F489" s="18"/>
    </row>
    <row r="490" spans="6:6" x14ac:dyDescent="0.2">
      <c r="F490" s="18"/>
    </row>
    <row r="491" spans="6:6" x14ac:dyDescent="0.2">
      <c r="F491" s="18"/>
    </row>
    <row r="492" spans="6:6" x14ac:dyDescent="0.2">
      <c r="F492" s="18"/>
    </row>
    <row r="493" spans="6:6" x14ac:dyDescent="0.2">
      <c r="F493" s="18"/>
    </row>
    <row r="494" spans="6:6" x14ac:dyDescent="0.2">
      <c r="F494" s="18"/>
    </row>
    <row r="495" spans="6:6" x14ac:dyDescent="0.2">
      <c r="F495" s="18"/>
    </row>
    <row r="496" spans="6:6" x14ac:dyDescent="0.2">
      <c r="F496" s="18"/>
    </row>
    <row r="497" spans="6:6" x14ac:dyDescent="0.2">
      <c r="F497" s="18"/>
    </row>
    <row r="498" spans="6:6" x14ac:dyDescent="0.2">
      <c r="F498" s="18"/>
    </row>
    <row r="499" spans="6:6" x14ac:dyDescent="0.2">
      <c r="F499" s="18"/>
    </row>
    <row r="500" spans="6:6" x14ac:dyDescent="0.2">
      <c r="F500" s="18"/>
    </row>
    <row r="501" spans="6:6" x14ac:dyDescent="0.2">
      <c r="F501" s="18"/>
    </row>
    <row r="502" spans="6:6" x14ac:dyDescent="0.2">
      <c r="F502" s="18"/>
    </row>
    <row r="503" spans="6:6" x14ac:dyDescent="0.2">
      <c r="F503" s="18"/>
    </row>
    <row r="504" spans="6:6" x14ac:dyDescent="0.2">
      <c r="F504" s="18"/>
    </row>
    <row r="505" spans="6:6" x14ac:dyDescent="0.2">
      <c r="F505" s="18"/>
    </row>
    <row r="506" spans="6:6" x14ac:dyDescent="0.2">
      <c r="F506" s="18"/>
    </row>
    <row r="507" spans="6:6" x14ac:dyDescent="0.2">
      <c r="F507" s="18"/>
    </row>
    <row r="508" spans="6:6" x14ac:dyDescent="0.2">
      <c r="F508" s="18"/>
    </row>
    <row r="509" spans="6:6" x14ac:dyDescent="0.2">
      <c r="F509" s="18"/>
    </row>
    <row r="510" spans="6:6" x14ac:dyDescent="0.2">
      <c r="F510" s="18"/>
    </row>
    <row r="511" spans="6:6" x14ac:dyDescent="0.2">
      <c r="F511" s="18"/>
    </row>
    <row r="512" spans="6:6" x14ac:dyDescent="0.2">
      <c r="F512" s="18"/>
    </row>
    <row r="513" spans="6:6" x14ac:dyDescent="0.2">
      <c r="F513" s="18"/>
    </row>
    <row r="514" spans="6:6" x14ac:dyDescent="0.2">
      <c r="F514" s="18"/>
    </row>
    <row r="515" spans="6:6" x14ac:dyDescent="0.2">
      <c r="F515" s="18"/>
    </row>
    <row r="516" spans="6:6" x14ac:dyDescent="0.2">
      <c r="F516" s="18"/>
    </row>
    <row r="517" spans="6:6" x14ac:dyDescent="0.2">
      <c r="F517" s="18"/>
    </row>
    <row r="518" spans="6:6" x14ac:dyDescent="0.2">
      <c r="F518" s="18"/>
    </row>
    <row r="519" spans="6:6" x14ac:dyDescent="0.2">
      <c r="F519" s="18"/>
    </row>
    <row r="520" spans="6:6" x14ac:dyDescent="0.2">
      <c r="F520" s="18"/>
    </row>
    <row r="521" spans="6:6" x14ac:dyDescent="0.2">
      <c r="F521" s="18"/>
    </row>
    <row r="522" spans="6:6" x14ac:dyDescent="0.2">
      <c r="F522" s="18"/>
    </row>
    <row r="523" spans="6:6" x14ac:dyDescent="0.2">
      <c r="F523" s="18"/>
    </row>
    <row r="524" spans="6:6" x14ac:dyDescent="0.2">
      <c r="F524" s="18"/>
    </row>
    <row r="525" spans="6:6" x14ac:dyDescent="0.2">
      <c r="F525" s="18"/>
    </row>
    <row r="526" spans="6:6" x14ac:dyDescent="0.2">
      <c r="F526" s="18"/>
    </row>
    <row r="527" spans="6:6" x14ac:dyDescent="0.2">
      <c r="F527" s="18"/>
    </row>
    <row r="528" spans="6:6" x14ac:dyDescent="0.2">
      <c r="F528" s="18"/>
    </row>
    <row r="529" spans="6:6" x14ac:dyDescent="0.2">
      <c r="F529" s="18"/>
    </row>
    <row r="530" spans="6:6" x14ac:dyDescent="0.2">
      <c r="F530" s="18"/>
    </row>
    <row r="531" spans="6:6" x14ac:dyDescent="0.2">
      <c r="F531" s="18"/>
    </row>
    <row r="532" spans="6:6" x14ac:dyDescent="0.2">
      <c r="F532" s="18"/>
    </row>
    <row r="533" spans="6:6" x14ac:dyDescent="0.2">
      <c r="F533" s="18"/>
    </row>
    <row r="534" spans="6:6" x14ac:dyDescent="0.2">
      <c r="F534" s="18"/>
    </row>
    <row r="535" spans="6:6" x14ac:dyDescent="0.2">
      <c r="F535" s="18"/>
    </row>
    <row r="536" spans="6:6" x14ac:dyDescent="0.2">
      <c r="F536" s="18"/>
    </row>
    <row r="537" spans="6:6" x14ac:dyDescent="0.2">
      <c r="F537" s="18"/>
    </row>
    <row r="538" spans="6:6" x14ac:dyDescent="0.2">
      <c r="F538" s="18"/>
    </row>
    <row r="539" spans="6:6" x14ac:dyDescent="0.2">
      <c r="F539" s="18"/>
    </row>
    <row r="540" spans="6:6" x14ac:dyDescent="0.2">
      <c r="F540" s="18"/>
    </row>
    <row r="541" spans="6:6" x14ac:dyDescent="0.2">
      <c r="F541" s="18"/>
    </row>
    <row r="542" spans="6:6" x14ac:dyDescent="0.2">
      <c r="F542" s="18"/>
    </row>
    <row r="543" spans="6:6" x14ac:dyDescent="0.2">
      <c r="F543" s="18"/>
    </row>
    <row r="544" spans="6:6" x14ac:dyDescent="0.2">
      <c r="F544" s="18"/>
    </row>
    <row r="545" spans="6:6" x14ac:dyDescent="0.2">
      <c r="F545" s="18"/>
    </row>
    <row r="546" spans="6:6" x14ac:dyDescent="0.2">
      <c r="F546" s="18"/>
    </row>
    <row r="547" spans="6:6" x14ac:dyDescent="0.2">
      <c r="F547" s="18"/>
    </row>
    <row r="548" spans="6:6" x14ac:dyDescent="0.2">
      <c r="F548" s="18"/>
    </row>
    <row r="549" spans="6:6" x14ac:dyDescent="0.2">
      <c r="F549" s="18"/>
    </row>
    <row r="550" spans="6:6" x14ac:dyDescent="0.2">
      <c r="F550" s="18"/>
    </row>
    <row r="551" spans="6:6" x14ac:dyDescent="0.2">
      <c r="F551" s="18"/>
    </row>
    <row r="552" spans="6:6" x14ac:dyDescent="0.2">
      <c r="F552" s="18"/>
    </row>
    <row r="553" spans="6:6" x14ac:dyDescent="0.2">
      <c r="F553" s="18"/>
    </row>
    <row r="554" spans="6:6" x14ac:dyDescent="0.2">
      <c r="F554" s="18"/>
    </row>
    <row r="555" spans="6:6" x14ac:dyDescent="0.2">
      <c r="F555" s="18"/>
    </row>
    <row r="556" spans="6:6" x14ac:dyDescent="0.2">
      <c r="F556" s="18"/>
    </row>
    <row r="557" spans="6:6" x14ac:dyDescent="0.2">
      <c r="F557" s="18"/>
    </row>
    <row r="558" spans="6:6" x14ac:dyDescent="0.2">
      <c r="F558" s="18"/>
    </row>
    <row r="559" spans="6:6" x14ac:dyDescent="0.2">
      <c r="F559" s="18"/>
    </row>
    <row r="560" spans="6:6" x14ac:dyDescent="0.2">
      <c r="F560" s="18"/>
    </row>
    <row r="561" spans="6:6" x14ac:dyDescent="0.2">
      <c r="F561" s="18"/>
    </row>
    <row r="562" spans="6:6" x14ac:dyDescent="0.2">
      <c r="F562" s="18"/>
    </row>
    <row r="563" spans="6:6" x14ac:dyDescent="0.2">
      <c r="F563" s="18"/>
    </row>
    <row r="564" spans="6:6" x14ac:dyDescent="0.2">
      <c r="F564" s="18"/>
    </row>
    <row r="565" spans="6:6" x14ac:dyDescent="0.2">
      <c r="F565" s="18"/>
    </row>
    <row r="566" spans="6:6" x14ac:dyDescent="0.2">
      <c r="F566" s="18"/>
    </row>
    <row r="567" spans="6:6" x14ac:dyDescent="0.2">
      <c r="F567" s="18"/>
    </row>
    <row r="568" spans="6:6" x14ac:dyDescent="0.2">
      <c r="F568" s="18"/>
    </row>
    <row r="569" spans="6:6" x14ac:dyDescent="0.2">
      <c r="F569" s="18"/>
    </row>
    <row r="570" spans="6:6" x14ac:dyDescent="0.2">
      <c r="F570" s="18"/>
    </row>
    <row r="571" spans="6:6" x14ac:dyDescent="0.2">
      <c r="F571" s="18"/>
    </row>
    <row r="572" spans="6:6" x14ac:dyDescent="0.2">
      <c r="F572" s="18"/>
    </row>
    <row r="573" spans="6:6" x14ac:dyDescent="0.2">
      <c r="F573" s="18"/>
    </row>
    <row r="574" spans="6:6" x14ac:dyDescent="0.2">
      <c r="F574" s="18"/>
    </row>
    <row r="575" spans="6:6" x14ac:dyDescent="0.2">
      <c r="F575" s="18"/>
    </row>
    <row r="576" spans="6:6" x14ac:dyDescent="0.2">
      <c r="F576" s="18"/>
    </row>
    <row r="577" spans="6:6" x14ac:dyDescent="0.2">
      <c r="F577" s="18"/>
    </row>
    <row r="578" spans="6:6" x14ac:dyDescent="0.2">
      <c r="F578" s="18"/>
    </row>
    <row r="579" spans="6:6" x14ac:dyDescent="0.2">
      <c r="F579" s="18"/>
    </row>
    <row r="580" spans="6:6" x14ac:dyDescent="0.2">
      <c r="F580" s="18"/>
    </row>
    <row r="581" spans="6:6" x14ac:dyDescent="0.2">
      <c r="F581" s="18"/>
    </row>
    <row r="582" spans="6:6" x14ac:dyDescent="0.2">
      <c r="F582" s="18"/>
    </row>
    <row r="583" spans="6:6" x14ac:dyDescent="0.2">
      <c r="F583" s="18"/>
    </row>
    <row r="584" spans="6:6" x14ac:dyDescent="0.2">
      <c r="F584" s="18"/>
    </row>
    <row r="585" spans="6:6" x14ac:dyDescent="0.2">
      <c r="F585" s="18"/>
    </row>
    <row r="586" spans="6:6" x14ac:dyDescent="0.2">
      <c r="F586" s="18"/>
    </row>
    <row r="587" spans="6:6" x14ac:dyDescent="0.2">
      <c r="F587" s="18"/>
    </row>
    <row r="588" spans="6:6" x14ac:dyDescent="0.2">
      <c r="F588" s="18"/>
    </row>
    <row r="589" spans="6:6" x14ac:dyDescent="0.2">
      <c r="F589" s="18"/>
    </row>
    <row r="590" spans="6:6" x14ac:dyDescent="0.2">
      <c r="F590" s="18"/>
    </row>
    <row r="591" spans="6:6" x14ac:dyDescent="0.2">
      <c r="F591" s="18"/>
    </row>
    <row r="592" spans="6:6" x14ac:dyDescent="0.2">
      <c r="F592" s="18"/>
    </row>
    <row r="593" spans="6:6" x14ac:dyDescent="0.2">
      <c r="F593" s="18"/>
    </row>
    <row r="594" spans="6:6" x14ac:dyDescent="0.2">
      <c r="F594" s="18"/>
    </row>
    <row r="595" spans="6:6" x14ac:dyDescent="0.2">
      <c r="F595" s="18"/>
    </row>
    <row r="596" spans="6:6" x14ac:dyDescent="0.2">
      <c r="F596" s="18"/>
    </row>
    <row r="597" spans="6:6" x14ac:dyDescent="0.2">
      <c r="F597" s="18"/>
    </row>
    <row r="598" spans="6:6" x14ac:dyDescent="0.2">
      <c r="F598" s="18"/>
    </row>
    <row r="599" spans="6:6" x14ac:dyDescent="0.2">
      <c r="F599" s="18"/>
    </row>
    <row r="600" spans="6:6" x14ac:dyDescent="0.2">
      <c r="F600" s="18"/>
    </row>
    <row r="601" spans="6:6" x14ac:dyDescent="0.2">
      <c r="F601" s="18"/>
    </row>
    <row r="602" spans="6:6" x14ac:dyDescent="0.2">
      <c r="F602" s="18"/>
    </row>
    <row r="603" spans="6:6" x14ac:dyDescent="0.2">
      <c r="F603" s="18"/>
    </row>
    <row r="604" spans="6:6" x14ac:dyDescent="0.2">
      <c r="F604" s="18"/>
    </row>
    <row r="605" spans="6:6" x14ac:dyDescent="0.2">
      <c r="F605" s="18"/>
    </row>
    <row r="606" spans="6:6" x14ac:dyDescent="0.2">
      <c r="F606" s="18"/>
    </row>
    <row r="607" spans="6:6" x14ac:dyDescent="0.2">
      <c r="F607" s="18"/>
    </row>
    <row r="608" spans="6:6" x14ac:dyDescent="0.2">
      <c r="F608" s="18"/>
    </row>
    <row r="609" spans="6:6" x14ac:dyDescent="0.2">
      <c r="F609" s="18"/>
    </row>
    <row r="610" spans="6:6" x14ac:dyDescent="0.2">
      <c r="F610" s="18"/>
    </row>
    <row r="611" spans="6:6" x14ac:dyDescent="0.2">
      <c r="F611" s="18"/>
    </row>
    <row r="612" spans="6:6" x14ac:dyDescent="0.2">
      <c r="F612" s="18"/>
    </row>
    <row r="613" spans="6:6" x14ac:dyDescent="0.2">
      <c r="F613" s="18"/>
    </row>
    <row r="614" spans="6:6" x14ac:dyDescent="0.2">
      <c r="F614" s="18"/>
    </row>
    <row r="615" spans="6:6" x14ac:dyDescent="0.2">
      <c r="F615" s="18"/>
    </row>
    <row r="616" spans="6:6" x14ac:dyDescent="0.2">
      <c r="F616" s="18"/>
    </row>
    <row r="617" spans="6:6" x14ac:dyDescent="0.2">
      <c r="F617" s="18"/>
    </row>
    <row r="618" spans="6:6" x14ac:dyDescent="0.2">
      <c r="F618" s="18"/>
    </row>
    <row r="619" spans="6:6" x14ac:dyDescent="0.2">
      <c r="F619" s="18"/>
    </row>
    <row r="620" spans="6:6" x14ac:dyDescent="0.2">
      <c r="F620" s="18"/>
    </row>
    <row r="621" spans="6:6" x14ac:dyDescent="0.2">
      <c r="F621" s="18"/>
    </row>
    <row r="622" spans="6:6" x14ac:dyDescent="0.2">
      <c r="F622" s="18"/>
    </row>
    <row r="623" spans="6:6" x14ac:dyDescent="0.2">
      <c r="F623" s="18"/>
    </row>
    <row r="624" spans="6:6" x14ac:dyDescent="0.2">
      <c r="F624" s="18"/>
    </row>
    <row r="625" spans="6:6" x14ac:dyDescent="0.2">
      <c r="F625" s="18"/>
    </row>
    <row r="626" spans="6:6" x14ac:dyDescent="0.2">
      <c r="F626" s="18"/>
    </row>
    <row r="627" spans="6:6" x14ac:dyDescent="0.2">
      <c r="F627" s="18"/>
    </row>
    <row r="628" spans="6:6" x14ac:dyDescent="0.2">
      <c r="F628" s="18"/>
    </row>
    <row r="629" spans="6:6" x14ac:dyDescent="0.2">
      <c r="F629" s="18"/>
    </row>
    <row r="630" spans="6:6" x14ac:dyDescent="0.2">
      <c r="F630" s="18"/>
    </row>
    <row r="631" spans="6:6" x14ac:dyDescent="0.2">
      <c r="F631" s="18"/>
    </row>
    <row r="632" spans="6:6" x14ac:dyDescent="0.2">
      <c r="F632" s="18"/>
    </row>
    <row r="633" spans="6:6" x14ac:dyDescent="0.2">
      <c r="F633" s="18"/>
    </row>
    <row r="634" spans="6:6" x14ac:dyDescent="0.2">
      <c r="F634" s="18"/>
    </row>
    <row r="635" spans="6:6" x14ac:dyDescent="0.2">
      <c r="F635" s="18"/>
    </row>
    <row r="636" spans="6:6" x14ac:dyDescent="0.2">
      <c r="F636" s="18"/>
    </row>
    <row r="637" spans="6:6" x14ac:dyDescent="0.2">
      <c r="F637" s="18"/>
    </row>
    <row r="638" spans="6:6" x14ac:dyDescent="0.2">
      <c r="F638" s="18"/>
    </row>
    <row r="639" spans="6:6" x14ac:dyDescent="0.2">
      <c r="F639" s="18"/>
    </row>
    <row r="640" spans="6:6" x14ac:dyDescent="0.2">
      <c r="F640" s="18"/>
    </row>
    <row r="641" spans="6:6" x14ac:dyDescent="0.2">
      <c r="F641" s="18"/>
    </row>
    <row r="642" spans="6:6" x14ac:dyDescent="0.2">
      <c r="F642" s="18"/>
    </row>
    <row r="643" spans="6:6" x14ac:dyDescent="0.2">
      <c r="F643" s="18"/>
    </row>
    <row r="644" spans="6:6" x14ac:dyDescent="0.2">
      <c r="F644" s="18"/>
    </row>
    <row r="645" spans="6:6" x14ac:dyDescent="0.2">
      <c r="F645" s="18"/>
    </row>
    <row r="646" spans="6:6" x14ac:dyDescent="0.2">
      <c r="F646" s="18"/>
    </row>
    <row r="647" spans="6:6" x14ac:dyDescent="0.2">
      <c r="F647" s="18"/>
    </row>
    <row r="648" spans="6:6" x14ac:dyDescent="0.2">
      <c r="F648" s="18"/>
    </row>
    <row r="649" spans="6:6" x14ac:dyDescent="0.2">
      <c r="F649" s="18"/>
    </row>
    <row r="650" spans="6:6" x14ac:dyDescent="0.2">
      <c r="F650" s="18"/>
    </row>
    <row r="651" spans="6:6" x14ac:dyDescent="0.2">
      <c r="F651" s="18"/>
    </row>
    <row r="652" spans="6:6" x14ac:dyDescent="0.2">
      <c r="F652" s="18"/>
    </row>
    <row r="653" spans="6:6" x14ac:dyDescent="0.2">
      <c r="F653" s="18"/>
    </row>
    <row r="654" spans="6:6" x14ac:dyDescent="0.2">
      <c r="F654" s="18"/>
    </row>
    <row r="655" spans="6:6" x14ac:dyDescent="0.2">
      <c r="F655" s="18"/>
    </row>
    <row r="656" spans="6:6" x14ac:dyDescent="0.2">
      <c r="F656" s="18"/>
    </row>
    <row r="657" spans="6:6" x14ac:dyDescent="0.2">
      <c r="F657" s="18"/>
    </row>
    <row r="658" spans="6:6" x14ac:dyDescent="0.2">
      <c r="F658" s="18"/>
    </row>
    <row r="659" spans="6:6" x14ac:dyDescent="0.2">
      <c r="F659" s="18"/>
    </row>
    <row r="660" spans="6:6" x14ac:dyDescent="0.2">
      <c r="F660" s="18"/>
    </row>
    <row r="661" spans="6:6" x14ac:dyDescent="0.2">
      <c r="F661" s="18"/>
    </row>
    <row r="662" spans="6:6" x14ac:dyDescent="0.2">
      <c r="F662" s="18"/>
    </row>
    <row r="663" spans="6:6" x14ac:dyDescent="0.2">
      <c r="F663" s="18"/>
    </row>
    <row r="664" spans="6:6" x14ac:dyDescent="0.2">
      <c r="F664" s="18"/>
    </row>
    <row r="665" spans="6:6" x14ac:dyDescent="0.2">
      <c r="F665" s="18"/>
    </row>
    <row r="666" spans="6:6" x14ac:dyDescent="0.2">
      <c r="F666" s="18"/>
    </row>
    <row r="667" spans="6:6" x14ac:dyDescent="0.2">
      <c r="F667" s="18"/>
    </row>
    <row r="668" spans="6:6" x14ac:dyDescent="0.2">
      <c r="F668" s="18"/>
    </row>
    <row r="669" spans="6:6" x14ac:dyDescent="0.2">
      <c r="F669" s="18"/>
    </row>
    <row r="670" spans="6:6" x14ac:dyDescent="0.2">
      <c r="F670" s="18"/>
    </row>
    <row r="671" spans="6:6" x14ac:dyDescent="0.2">
      <c r="F671" s="18"/>
    </row>
    <row r="672" spans="6:6" x14ac:dyDescent="0.2">
      <c r="F672" s="18"/>
    </row>
    <row r="673" spans="6:6" x14ac:dyDescent="0.2">
      <c r="F673" s="18"/>
    </row>
    <row r="674" spans="6:6" x14ac:dyDescent="0.2">
      <c r="F674" s="18"/>
    </row>
    <row r="675" spans="6:6" x14ac:dyDescent="0.2">
      <c r="F675" s="18"/>
    </row>
    <row r="676" spans="6:6" x14ac:dyDescent="0.2">
      <c r="F676" s="18"/>
    </row>
    <row r="677" spans="6:6" x14ac:dyDescent="0.2">
      <c r="F677" s="18"/>
    </row>
    <row r="678" spans="6:6" x14ac:dyDescent="0.2">
      <c r="F678" s="18"/>
    </row>
    <row r="679" spans="6:6" x14ac:dyDescent="0.2">
      <c r="F679" s="18"/>
    </row>
    <row r="680" spans="6:6" x14ac:dyDescent="0.2">
      <c r="F680" s="18"/>
    </row>
    <row r="681" spans="6:6" x14ac:dyDescent="0.2">
      <c r="F681" s="18"/>
    </row>
    <row r="682" spans="6:6" x14ac:dyDescent="0.2">
      <c r="F682" s="18"/>
    </row>
    <row r="683" spans="6:6" x14ac:dyDescent="0.2">
      <c r="F683" s="18"/>
    </row>
    <row r="684" spans="6:6" x14ac:dyDescent="0.2">
      <c r="F684" s="18"/>
    </row>
    <row r="685" spans="6:6" x14ac:dyDescent="0.2">
      <c r="F685" s="18"/>
    </row>
    <row r="686" spans="6:6" x14ac:dyDescent="0.2">
      <c r="F686" s="18"/>
    </row>
    <row r="687" spans="6:6" x14ac:dyDescent="0.2">
      <c r="F687" s="18"/>
    </row>
    <row r="688" spans="6:6" x14ac:dyDescent="0.2">
      <c r="F688" s="18"/>
    </row>
    <row r="689" spans="6:6" x14ac:dyDescent="0.2">
      <c r="F689" s="18"/>
    </row>
    <row r="690" spans="6:6" x14ac:dyDescent="0.2">
      <c r="F690" s="18"/>
    </row>
    <row r="691" spans="6:6" x14ac:dyDescent="0.2">
      <c r="F691" s="18"/>
    </row>
    <row r="692" spans="6:6" x14ac:dyDescent="0.2">
      <c r="F692" s="18"/>
    </row>
    <row r="693" spans="6:6" x14ac:dyDescent="0.2">
      <c r="F693" s="18"/>
    </row>
    <row r="694" spans="6:6" x14ac:dyDescent="0.2">
      <c r="F694" s="18"/>
    </row>
    <row r="695" spans="6:6" x14ac:dyDescent="0.2">
      <c r="F695" s="18"/>
    </row>
    <row r="696" spans="6:6" x14ac:dyDescent="0.2">
      <c r="F696" s="18"/>
    </row>
    <row r="697" spans="6:6" x14ac:dyDescent="0.2">
      <c r="F697" s="18"/>
    </row>
    <row r="698" spans="6:6" x14ac:dyDescent="0.2">
      <c r="F698" s="18"/>
    </row>
    <row r="699" spans="6:6" x14ac:dyDescent="0.2">
      <c r="F699" s="18"/>
    </row>
    <row r="700" spans="6:6" x14ac:dyDescent="0.2">
      <c r="F700" s="18"/>
    </row>
    <row r="701" spans="6:6" x14ac:dyDescent="0.2">
      <c r="F701" s="18"/>
    </row>
    <row r="702" spans="6:6" x14ac:dyDescent="0.2">
      <c r="F702" s="18"/>
    </row>
    <row r="703" spans="6:6" x14ac:dyDescent="0.2">
      <c r="F703" s="18"/>
    </row>
    <row r="704" spans="6:6" x14ac:dyDescent="0.2">
      <c r="F704" s="18"/>
    </row>
    <row r="705" spans="6:6" x14ac:dyDescent="0.2">
      <c r="F705" s="18"/>
    </row>
    <row r="706" spans="6:6" x14ac:dyDescent="0.2">
      <c r="F706" s="18"/>
    </row>
    <row r="707" spans="6:6" x14ac:dyDescent="0.2">
      <c r="F707" s="18"/>
    </row>
    <row r="708" spans="6:6" x14ac:dyDescent="0.2">
      <c r="F708" s="18"/>
    </row>
    <row r="709" spans="6:6" x14ac:dyDescent="0.2">
      <c r="F709" s="18"/>
    </row>
    <row r="710" spans="6:6" x14ac:dyDescent="0.2">
      <c r="F710" s="18"/>
    </row>
    <row r="711" spans="6:6" x14ac:dyDescent="0.2">
      <c r="F711" s="18"/>
    </row>
    <row r="712" spans="6:6" x14ac:dyDescent="0.2">
      <c r="F712" s="18"/>
    </row>
    <row r="713" spans="6:6" x14ac:dyDescent="0.2">
      <c r="F713" s="18"/>
    </row>
    <row r="714" spans="6:6" x14ac:dyDescent="0.2">
      <c r="F714" s="18"/>
    </row>
    <row r="715" spans="6:6" x14ac:dyDescent="0.2">
      <c r="F715" s="18"/>
    </row>
    <row r="716" spans="6:6" x14ac:dyDescent="0.2">
      <c r="F716" s="18"/>
    </row>
    <row r="717" spans="6:6" x14ac:dyDescent="0.2">
      <c r="F717" s="18"/>
    </row>
    <row r="718" spans="6:6" x14ac:dyDescent="0.2">
      <c r="F718" s="18"/>
    </row>
    <row r="719" spans="6:6" x14ac:dyDescent="0.2">
      <c r="F719" s="18"/>
    </row>
    <row r="720" spans="6:6" x14ac:dyDescent="0.2">
      <c r="F720" s="18"/>
    </row>
    <row r="721" spans="6:6" x14ac:dyDescent="0.2">
      <c r="F721" s="18"/>
    </row>
    <row r="722" spans="6:6" x14ac:dyDescent="0.2">
      <c r="F722" s="18"/>
    </row>
    <row r="723" spans="6:6" x14ac:dyDescent="0.2">
      <c r="F723" s="18"/>
    </row>
    <row r="724" spans="6:6" x14ac:dyDescent="0.2">
      <c r="F724" s="18"/>
    </row>
    <row r="725" spans="6:6" x14ac:dyDescent="0.2">
      <c r="F725" s="18"/>
    </row>
    <row r="726" spans="6:6" x14ac:dyDescent="0.2">
      <c r="F726" s="18"/>
    </row>
    <row r="727" spans="6:6" x14ac:dyDescent="0.2">
      <c r="F727" s="18"/>
    </row>
    <row r="728" spans="6:6" x14ac:dyDescent="0.2">
      <c r="F728" s="18"/>
    </row>
    <row r="729" spans="6:6" x14ac:dyDescent="0.2">
      <c r="F729" s="18"/>
    </row>
    <row r="730" spans="6:6" x14ac:dyDescent="0.2">
      <c r="F730" s="18"/>
    </row>
    <row r="731" spans="6:6" x14ac:dyDescent="0.2">
      <c r="F731" s="18"/>
    </row>
    <row r="732" spans="6:6" x14ac:dyDescent="0.2">
      <c r="F732" s="18"/>
    </row>
    <row r="733" spans="6:6" x14ac:dyDescent="0.2">
      <c r="F733" s="18"/>
    </row>
    <row r="734" spans="6:6" x14ac:dyDescent="0.2">
      <c r="F734" s="18"/>
    </row>
    <row r="735" spans="6:6" x14ac:dyDescent="0.2">
      <c r="F735" s="18"/>
    </row>
    <row r="736" spans="6:6" x14ac:dyDescent="0.2">
      <c r="F736" s="18"/>
    </row>
    <row r="737" spans="6:6" x14ac:dyDescent="0.2">
      <c r="F737" s="18"/>
    </row>
    <row r="738" spans="6:6" x14ac:dyDescent="0.2">
      <c r="F738" s="18"/>
    </row>
    <row r="739" spans="6:6" x14ac:dyDescent="0.2">
      <c r="F739" s="18"/>
    </row>
    <row r="740" spans="6:6" x14ac:dyDescent="0.2">
      <c r="F740" s="18"/>
    </row>
    <row r="741" spans="6:6" x14ac:dyDescent="0.2">
      <c r="F741" s="18"/>
    </row>
    <row r="742" spans="6:6" x14ac:dyDescent="0.2">
      <c r="F742" s="18"/>
    </row>
    <row r="743" spans="6:6" x14ac:dyDescent="0.2">
      <c r="F743" s="18"/>
    </row>
    <row r="744" spans="6:6" x14ac:dyDescent="0.2">
      <c r="F744" s="18"/>
    </row>
    <row r="745" spans="6:6" x14ac:dyDescent="0.2">
      <c r="F745" s="18"/>
    </row>
    <row r="746" spans="6:6" x14ac:dyDescent="0.2">
      <c r="F746" s="18"/>
    </row>
    <row r="747" spans="6:6" x14ac:dyDescent="0.2">
      <c r="F747" s="18"/>
    </row>
    <row r="748" spans="6:6" x14ac:dyDescent="0.2">
      <c r="F748" s="18"/>
    </row>
    <row r="749" spans="6:6" x14ac:dyDescent="0.2">
      <c r="F749" s="18"/>
    </row>
    <row r="750" spans="6:6" x14ac:dyDescent="0.2">
      <c r="F750" s="18"/>
    </row>
    <row r="751" spans="6:6" x14ac:dyDescent="0.2">
      <c r="F751" s="18"/>
    </row>
    <row r="752" spans="6:6" x14ac:dyDescent="0.2">
      <c r="F752" s="18"/>
    </row>
    <row r="753" spans="6:6" x14ac:dyDescent="0.2">
      <c r="F753" s="18"/>
    </row>
    <row r="754" spans="6:6" x14ac:dyDescent="0.2">
      <c r="F754" s="18"/>
    </row>
    <row r="755" spans="6:6" x14ac:dyDescent="0.2">
      <c r="F755" s="18"/>
    </row>
    <row r="756" spans="6:6" x14ac:dyDescent="0.2">
      <c r="F756" s="18"/>
    </row>
    <row r="757" spans="6:6" x14ac:dyDescent="0.2">
      <c r="F757" s="18"/>
    </row>
    <row r="758" spans="6:6" x14ac:dyDescent="0.2">
      <c r="F758" s="18"/>
    </row>
    <row r="759" spans="6:6" x14ac:dyDescent="0.2">
      <c r="F759" s="18"/>
    </row>
    <row r="760" spans="6:6" x14ac:dyDescent="0.2">
      <c r="F760" s="18"/>
    </row>
    <row r="761" spans="6:6" x14ac:dyDescent="0.2">
      <c r="F761" s="18"/>
    </row>
    <row r="762" spans="6:6" x14ac:dyDescent="0.2">
      <c r="F762" s="18"/>
    </row>
    <row r="763" spans="6:6" x14ac:dyDescent="0.2">
      <c r="F763" s="18"/>
    </row>
    <row r="764" spans="6:6" x14ac:dyDescent="0.2">
      <c r="F764" s="18"/>
    </row>
    <row r="765" spans="6:6" x14ac:dyDescent="0.2">
      <c r="F765" s="18"/>
    </row>
    <row r="766" spans="6:6" x14ac:dyDescent="0.2">
      <c r="F766" s="18"/>
    </row>
    <row r="767" spans="6:6" x14ac:dyDescent="0.2">
      <c r="F767" s="18"/>
    </row>
    <row r="768" spans="6:6" x14ac:dyDescent="0.2">
      <c r="F768" s="18"/>
    </row>
    <row r="769" spans="6:6" x14ac:dyDescent="0.2">
      <c r="F769" s="18"/>
    </row>
    <row r="770" spans="6:6" x14ac:dyDescent="0.2">
      <c r="F770" s="18"/>
    </row>
    <row r="771" spans="6:6" x14ac:dyDescent="0.2">
      <c r="F771" s="18"/>
    </row>
    <row r="772" spans="6:6" x14ac:dyDescent="0.2">
      <c r="F772" s="18"/>
    </row>
    <row r="773" spans="6:6" x14ac:dyDescent="0.2">
      <c r="F773" s="18"/>
    </row>
    <row r="774" spans="6:6" x14ac:dyDescent="0.2">
      <c r="F774" s="18"/>
    </row>
    <row r="775" spans="6:6" x14ac:dyDescent="0.2">
      <c r="F775" s="18"/>
    </row>
    <row r="776" spans="6:6" x14ac:dyDescent="0.2">
      <c r="F776" s="18"/>
    </row>
    <row r="777" spans="6:6" x14ac:dyDescent="0.2">
      <c r="F777" s="18"/>
    </row>
    <row r="778" spans="6:6" x14ac:dyDescent="0.2">
      <c r="F778" s="18"/>
    </row>
    <row r="779" spans="6:6" x14ac:dyDescent="0.2">
      <c r="F779" s="18"/>
    </row>
    <row r="780" spans="6:6" x14ac:dyDescent="0.2">
      <c r="F780" s="18"/>
    </row>
    <row r="781" spans="6:6" x14ac:dyDescent="0.2">
      <c r="F781" s="18"/>
    </row>
    <row r="782" spans="6:6" x14ac:dyDescent="0.2">
      <c r="F782" s="18"/>
    </row>
    <row r="783" spans="6:6" x14ac:dyDescent="0.2">
      <c r="F783" s="18"/>
    </row>
    <row r="784" spans="6:6" x14ac:dyDescent="0.2">
      <c r="F784" s="18"/>
    </row>
    <row r="785" spans="6:6" x14ac:dyDescent="0.2">
      <c r="F785" s="18"/>
    </row>
    <row r="786" spans="6:6" x14ac:dyDescent="0.2">
      <c r="F786" s="18"/>
    </row>
    <row r="787" spans="6:6" x14ac:dyDescent="0.2">
      <c r="F787" s="18"/>
    </row>
    <row r="788" spans="6:6" x14ac:dyDescent="0.2">
      <c r="F788" s="18"/>
    </row>
    <row r="789" spans="6:6" x14ac:dyDescent="0.2">
      <c r="F789" s="18"/>
    </row>
    <row r="790" spans="6:6" x14ac:dyDescent="0.2">
      <c r="F790" s="18"/>
    </row>
    <row r="791" spans="6:6" x14ac:dyDescent="0.2">
      <c r="F791" s="18"/>
    </row>
    <row r="792" spans="6:6" x14ac:dyDescent="0.2">
      <c r="F792" s="18"/>
    </row>
    <row r="793" spans="6:6" x14ac:dyDescent="0.2">
      <c r="F793" s="18"/>
    </row>
    <row r="794" spans="6:6" x14ac:dyDescent="0.2">
      <c r="F794" s="18"/>
    </row>
    <row r="795" spans="6:6" x14ac:dyDescent="0.2">
      <c r="F795" s="18"/>
    </row>
    <row r="796" spans="6:6" x14ac:dyDescent="0.2">
      <c r="F796" s="18"/>
    </row>
    <row r="797" spans="6:6" x14ac:dyDescent="0.2">
      <c r="F797" s="18"/>
    </row>
    <row r="798" spans="6:6" x14ac:dyDescent="0.2">
      <c r="F798" s="18"/>
    </row>
    <row r="799" spans="6:6" x14ac:dyDescent="0.2">
      <c r="F799" s="18"/>
    </row>
    <row r="800" spans="6:6" x14ac:dyDescent="0.2">
      <c r="F800" s="18"/>
    </row>
    <row r="801" spans="6:6" x14ac:dyDescent="0.2">
      <c r="F801" s="18"/>
    </row>
    <row r="802" spans="6:6" x14ac:dyDescent="0.2">
      <c r="F802" s="18"/>
    </row>
    <row r="803" spans="6:6" x14ac:dyDescent="0.2">
      <c r="F803" s="18"/>
    </row>
    <row r="804" spans="6:6" x14ac:dyDescent="0.2">
      <c r="F804" s="18"/>
    </row>
    <row r="805" spans="6:6" x14ac:dyDescent="0.2">
      <c r="F805" s="18"/>
    </row>
    <row r="806" spans="6:6" x14ac:dyDescent="0.2">
      <c r="F806" s="18"/>
    </row>
    <row r="807" spans="6:6" x14ac:dyDescent="0.2">
      <c r="F807" s="18"/>
    </row>
    <row r="808" spans="6:6" x14ac:dyDescent="0.2">
      <c r="F808" s="18"/>
    </row>
    <row r="809" spans="6:6" x14ac:dyDescent="0.2">
      <c r="F809" s="18"/>
    </row>
    <row r="810" spans="6:6" x14ac:dyDescent="0.2">
      <c r="F810" s="18"/>
    </row>
    <row r="811" spans="6:6" x14ac:dyDescent="0.2">
      <c r="F811" s="18"/>
    </row>
    <row r="812" spans="6:6" x14ac:dyDescent="0.2">
      <c r="F812" s="18"/>
    </row>
    <row r="813" spans="6:6" x14ac:dyDescent="0.2">
      <c r="F813" s="18"/>
    </row>
    <row r="814" spans="6:6" x14ac:dyDescent="0.2">
      <c r="F814" s="18"/>
    </row>
    <row r="815" spans="6:6" x14ac:dyDescent="0.2">
      <c r="F815" s="18"/>
    </row>
    <row r="816" spans="6:6" x14ac:dyDescent="0.2">
      <c r="F816" s="18"/>
    </row>
    <row r="817" spans="6:6" x14ac:dyDescent="0.2">
      <c r="F817" s="18"/>
    </row>
    <row r="818" spans="6:6" x14ac:dyDescent="0.2">
      <c r="F818" s="18"/>
    </row>
    <row r="819" spans="6:6" x14ac:dyDescent="0.2">
      <c r="F819" s="18"/>
    </row>
    <row r="820" spans="6:6" x14ac:dyDescent="0.2">
      <c r="F820" s="18"/>
    </row>
    <row r="821" spans="6:6" x14ac:dyDescent="0.2">
      <c r="F821" s="18"/>
    </row>
    <row r="822" spans="6:6" x14ac:dyDescent="0.2">
      <c r="F822" s="18"/>
    </row>
    <row r="823" spans="6:6" x14ac:dyDescent="0.2">
      <c r="F823" s="18"/>
    </row>
    <row r="824" spans="6:6" x14ac:dyDescent="0.2">
      <c r="F824" s="18"/>
    </row>
    <row r="825" spans="6:6" x14ac:dyDescent="0.2">
      <c r="F825" s="18"/>
    </row>
    <row r="826" spans="6:6" x14ac:dyDescent="0.2">
      <c r="F826" s="18"/>
    </row>
    <row r="827" spans="6:6" x14ac:dyDescent="0.2">
      <c r="F827" s="18"/>
    </row>
    <row r="828" spans="6:6" x14ac:dyDescent="0.2">
      <c r="F828" s="18"/>
    </row>
    <row r="829" spans="6:6" x14ac:dyDescent="0.2">
      <c r="F829" s="18"/>
    </row>
    <row r="830" spans="6:6" x14ac:dyDescent="0.2">
      <c r="F830" s="18"/>
    </row>
    <row r="831" spans="6:6" x14ac:dyDescent="0.2">
      <c r="F831" s="18"/>
    </row>
    <row r="832" spans="6:6" x14ac:dyDescent="0.2">
      <c r="F832" s="18"/>
    </row>
    <row r="833" spans="6:6" x14ac:dyDescent="0.2">
      <c r="F833" s="18"/>
    </row>
    <row r="834" spans="6:6" x14ac:dyDescent="0.2">
      <c r="F834" s="18"/>
    </row>
    <row r="835" spans="6:6" x14ac:dyDescent="0.2">
      <c r="F835" s="18"/>
    </row>
    <row r="836" spans="6:6" x14ac:dyDescent="0.2">
      <c r="F836" s="18"/>
    </row>
    <row r="837" spans="6:6" x14ac:dyDescent="0.2">
      <c r="F837" s="18"/>
    </row>
    <row r="838" spans="6:6" x14ac:dyDescent="0.2">
      <c r="F838" s="18"/>
    </row>
    <row r="839" spans="6:6" x14ac:dyDescent="0.2">
      <c r="F839" s="18"/>
    </row>
    <row r="840" spans="6:6" x14ac:dyDescent="0.2">
      <c r="F840" s="18"/>
    </row>
    <row r="841" spans="6:6" x14ac:dyDescent="0.2">
      <c r="F841" s="18"/>
    </row>
    <row r="842" spans="6:6" x14ac:dyDescent="0.2">
      <c r="F842" s="18"/>
    </row>
    <row r="843" spans="6:6" x14ac:dyDescent="0.2">
      <c r="F843" s="18"/>
    </row>
    <row r="844" spans="6:6" x14ac:dyDescent="0.2">
      <c r="F844" s="18"/>
    </row>
    <row r="845" spans="6:6" x14ac:dyDescent="0.2">
      <c r="F845" s="18"/>
    </row>
    <row r="846" spans="6:6" x14ac:dyDescent="0.2">
      <c r="F846" s="18"/>
    </row>
    <row r="847" spans="6:6" x14ac:dyDescent="0.2">
      <c r="F847" s="18"/>
    </row>
    <row r="848" spans="6:6" x14ac:dyDescent="0.2">
      <c r="F848" s="18"/>
    </row>
    <row r="849" spans="6:6" x14ac:dyDescent="0.2">
      <c r="F849" s="18"/>
    </row>
    <row r="850" spans="6:6" x14ac:dyDescent="0.2">
      <c r="F850" s="18"/>
    </row>
    <row r="851" spans="6:6" x14ac:dyDescent="0.2">
      <c r="F851" s="18"/>
    </row>
    <row r="852" spans="6:6" x14ac:dyDescent="0.2">
      <c r="F852" s="18"/>
    </row>
    <row r="853" spans="6:6" x14ac:dyDescent="0.2">
      <c r="F853" s="18"/>
    </row>
    <row r="854" spans="6:6" x14ac:dyDescent="0.2">
      <c r="F854" s="18"/>
    </row>
    <row r="855" spans="6:6" x14ac:dyDescent="0.2">
      <c r="F855" s="18"/>
    </row>
    <row r="856" spans="6:6" x14ac:dyDescent="0.2">
      <c r="F856" s="18"/>
    </row>
    <row r="857" spans="6:6" x14ac:dyDescent="0.2">
      <c r="F857" s="18"/>
    </row>
    <row r="858" spans="6:6" x14ac:dyDescent="0.2">
      <c r="F858" s="18"/>
    </row>
    <row r="859" spans="6:6" x14ac:dyDescent="0.2">
      <c r="F859" s="18"/>
    </row>
    <row r="860" spans="6:6" x14ac:dyDescent="0.2">
      <c r="F860" s="18"/>
    </row>
    <row r="861" spans="6:6" x14ac:dyDescent="0.2">
      <c r="F861" s="18"/>
    </row>
    <row r="862" spans="6:6" x14ac:dyDescent="0.2">
      <c r="F862" s="18"/>
    </row>
    <row r="863" spans="6:6" x14ac:dyDescent="0.2">
      <c r="F863" s="18"/>
    </row>
    <row r="864" spans="6:6" x14ac:dyDescent="0.2">
      <c r="F864" s="18"/>
    </row>
    <row r="865" spans="6:6" x14ac:dyDescent="0.2">
      <c r="F865" s="18"/>
    </row>
    <row r="866" spans="6:6" x14ac:dyDescent="0.2">
      <c r="F866" s="18"/>
    </row>
    <row r="867" spans="6:6" x14ac:dyDescent="0.2">
      <c r="F867" s="18"/>
    </row>
    <row r="868" spans="6:6" x14ac:dyDescent="0.2">
      <c r="F868" s="18"/>
    </row>
    <row r="869" spans="6:6" x14ac:dyDescent="0.2">
      <c r="F869" s="18"/>
    </row>
    <row r="870" spans="6:6" x14ac:dyDescent="0.2">
      <c r="F870" s="18"/>
    </row>
    <row r="871" spans="6:6" x14ac:dyDescent="0.2">
      <c r="F871" s="18"/>
    </row>
    <row r="872" spans="6:6" x14ac:dyDescent="0.2">
      <c r="F872" s="18"/>
    </row>
    <row r="873" spans="6:6" x14ac:dyDescent="0.2">
      <c r="F873" s="18"/>
    </row>
    <row r="874" spans="6:6" x14ac:dyDescent="0.2">
      <c r="F874" s="18"/>
    </row>
    <row r="875" spans="6:6" x14ac:dyDescent="0.2">
      <c r="F875" s="18"/>
    </row>
    <row r="876" spans="6:6" x14ac:dyDescent="0.2">
      <c r="F876" s="18"/>
    </row>
    <row r="877" spans="6:6" x14ac:dyDescent="0.2">
      <c r="F877" s="18"/>
    </row>
    <row r="878" spans="6:6" x14ac:dyDescent="0.2">
      <c r="F878" s="18"/>
    </row>
    <row r="879" spans="6:6" x14ac:dyDescent="0.2">
      <c r="F879" s="18"/>
    </row>
    <row r="880" spans="6:6" x14ac:dyDescent="0.2">
      <c r="F880" s="18"/>
    </row>
    <row r="881" spans="6:6" x14ac:dyDescent="0.2">
      <c r="F881" s="18"/>
    </row>
    <row r="882" spans="6:6" x14ac:dyDescent="0.2">
      <c r="F882" s="18"/>
    </row>
    <row r="883" spans="6:6" x14ac:dyDescent="0.2">
      <c r="F883" s="18"/>
    </row>
    <row r="884" spans="6:6" x14ac:dyDescent="0.2">
      <c r="F884" s="18"/>
    </row>
    <row r="885" spans="6:6" x14ac:dyDescent="0.2">
      <c r="F885" s="18"/>
    </row>
    <row r="886" spans="6:6" x14ac:dyDescent="0.2">
      <c r="F886" s="18"/>
    </row>
    <row r="887" spans="6:6" x14ac:dyDescent="0.2">
      <c r="F887" s="18"/>
    </row>
    <row r="888" spans="6:6" x14ac:dyDescent="0.2">
      <c r="F888" s="18"/>
    </row>
    <row r="889" spans="6:6" x14ac:dyDescent="0.2">
      <c r="F889" s="18"/>
    </row>
    <row r="890" spans="6:6" x14ac:dyDescent="0.2">
      <c r="F890" s="18"/>
    </row>
    <row r="891" spans="6:6" x14ac:dyDescent="0.2">
      <c r="F891" s="18"/>
    </row>
    <row r="892" spans="6:6" x14ac:dyDescent="0.2">
      <c r="F892" s="18"/>
    </row>
    <row r="893" spans="6:6" x14ac:dyDescent="0.2">
      <c r="F893" s="18"/>
    </row>
    <row r="894" spans="6:6" x14ac:dyDescent="0.2">
      <c r="F894" s="18"/>
    </row>
    <row r="895" spans="6:6" x14ac:dyDescent="0.2">
      <c r="F895" s="18"/>
    </row>
    <row r="896" spans="6:6" x14ac:dyDescent="0.2">
      <c r="F896" s="18"/>
    </row>
    <row r="897" spans="6:6" x14ac:dyDescent="0.2">
      <c r="F897" s="18"/>
    </row>
    <row r="898" spans="6:6" x14ac:dyDescent="0.2">
      <c r="F898" s="18"/>
    </row>
    <row r="899" spans="6:6" x14ac:dyDescent="0.2">
      <c r="F899" s="18"/>
    </row>
    <row r="900" spans="6:6" x14ac:dyDescent="0.2">
      <c r="F900" s="18"/>
    </row>
    <row r="901" spans="6:6" x14ac:dyDescent="0.2">
      <c r="F901" s="18"/>
    </row>
    <row r="902" spans="6:6" x14ac:dyDescent="0.2">
      <c r="F902" s="18"/>
    </row>
    <row r="903" spans="6:6" x14ac:dyDescent="0.2">
      <c r="F903" s="18"/>
    </row>
    <row r="904" spans="6:6" x14ac:dyDescent="0.2">
      <c r="F904" s="18"/>
    </row>
    <row r="905" spans="6:6" x14ac:dyDescent="0.2">
      <c r="F905" s="18"/>
    </row>
    <row r="906" spans="6:6" x14ac:dyDescent="0.2">
      <c r="F906" s="18"/>
    </row>
    <row r="907" spans="6:6" x14ac:dyDescent="0.2">
      <c r="F907" s="18"/>
    </row>
    <row r="908" spans="6:6" x14ac:dyDescent="0.2">
      <c r="F908" s="18"/>
    </row>
    <row r="909" spans="6:6" x14ac:dyDescent="0.2">
      <c r="F909" s="18"/>
    </row>
    <row r="910" spans="6:6" x14ac:dyDescent="0.2">
      <c r="F910" s="18"/>
    </row>
    <row r="911" spans="6:6" x14ac:dyDescent="0.2">
      <c r="F911" s="18"/>
    </row>
    <row r="912" spans="6:6" x14ac:dyDescent="0.2">
      <c r="F912" s="18"/>
    </row>
    <row r="913" spans="6:6" x14ac:dyDescent="0.2">
      <c r="F913" s="18"/>
    </row>
    <row r="914" spans="6:6" x14ac:dyDescent="0.2">
      <c r="F914" s="18"/>
    </row>
    <row r="915" spans="6:6" x14ac:dyDescent="0.2">
      <c r="F915" s="18"/>
    </row>
    <row r="916" spans="6:6" x14ac:dyDescent="0.2">
      <c r="F916" s="18"/>
    </row>
    <row r="917" spans="6:6" x14ac:dyDescent="0.2">
      <c r="F917" s="18"/>
    </row>
    <row r="918" spans="6:6" x14ac:dyDescent="0.2">
      <c r="F918" s="18"/>
    </row>
    <row r="919" spans="6:6" x14ac:dyDescent="0.2">
      <c r="F919" s="18"/>
    </row>
    <row r="920" spans="6:6" x14ac:dyDescent="0.2">
      <c r="F920" s="18"/>
    </row>
    <row r="921" spans="6:6" x14ac:dyDescent="0.2">
      <c r="F921" s="18"/>
    </row>
    <row r="922" spans="6:6" x14ac:dyDescent="0.2">
      <c r="F922" s="18"/>
    </row>
    <row r="923" spans="6:6" x14ac:dyDescent="0.2">
      <c r="F923" s="18"/>
    </row>
    <row r="924" spans="6:6" x14ac:dyDescent="0.2">
      <c r="F924" s="18"/>
    </row>
    <row r="925" spans="6:6" x14ac:dyDescent="0.2">
      <c r="F925" s="18"/>
    </row>
    <row r="926" spans="6:6" x14ac:dyDescent="0.2">
      <c r="F926" s="18"/>
    </row>
    <row r="927" spans="6:6" x14ac:dyDescent="0.2">
      <c r="F927" s="18"/>
    </row>
    <row r="928" spans="6:6" x14ac:dyDescent="0.2">
      <c r="F928" s="18"/>
    </row>
    <row r="929" spans="6:6" x14ac:dyDescent="0.2">
      <c r="F929" s="18"/>
    </row>
    <row r="930" spans="6:6" x14ac:dyDescent="0.2">
      <c r="F930" s="18"/>
    </row>
    <row r="931" spans="6:6" x14ac:dyDescent="0.2">
      <c r="F931" s="18"/>
    </row>
    <row r="932" spans="6:6" x14ac:dyDescent="0.2">
      <c r="F932" s="18"/>
    </row>
    <row r="933" spans="6:6" x14ac:dyDescent="0.2">
      <c r="F933" s="18"/>
    </row>
    <row r="934" spans="6:6" x14ac:dyDescent="0.2">
      <c r="F934" s="18"/>
    </row>
    <row r="935" spans="6:6" x14ac:dyDescent="0.2">
      <c r="F935" s="18"/>
    </row>
    <row r="936" spans="6:6" x14ac:dyDescent="0.2">
      <c r="F936" s="18"/>
    </row>
    <row r="937" spans="6:6" x14ac:dyDescent="0.2">
      <c r="F937" s="18"/>
    </row>
    <row r="938" spans="6:6" x14ac:dyDescent="0.2">
      <c r="F938" s="18"/>
    </row>
    <row r="939" spans="6:6" x14ac:dyDescent="0.2">
      <c r="F939" s="18"/>
    </row>
    <row r="940" spans="6:6" x14ac:dyDescent="0.2">
      <c r="F940" s="18"/>
    </row>
    <row r="941" spans="6:6" x14ac:dyDescent="0.2">
      <c r="F941" s="18"/>
    </row>
    <row r="942" spans="6:6" x14ac:dyDescent="0.2">
      <c r="F942" s="18"/>
    </row>
    <row r="943" spans="6:6" x14ac:dyDescent="0.2">
      <c r="F943" s="18"/>
    </row>
    <row r="944" spans="6:6" x14ac:dyDescent="0.2">
      <c r="F944" s="18"/>
    </row>
    <row r="945" spans="6:6" x14ac:dyDescent="0.2">
      <c r="F945" s="18"/>
    </row>
    <row r="946" spans="6:6" x14ac:dyDescent="0.2">
      <c r="F946" s="18"/>
    </row>
    <row r="947" spans="6:6" x14ac:dyDescent="0.2">
      <c r="F947" s="18"/>
    </row>
    <row r="948" spans="6:6" x14ac:dyDescent="0.2">
      <c r="F948" s="18"/>
    </row>
    <row r="949" spans="6:6" x14ac:dyDescent="0.2">
      <c r="F949" s="18"/>
    </row>
    <row r="950" spans="6:6" x14ac:dyDescent="0.2">
      <c r="F950" s="18"/>
    </row>
    <row r="951" spans="6:6" x14ac:dyDescent="0.2">
      <c r="F951" s="18"/>
    </row>
    <row r="952" spans="6:6" x14ac:dyDescent="0.2">
      <c r="F952" s="18"/>
    </row>
    <row r="953" spans="6:6" x14ac:dyDescent="0.2">
      <c r="F953" s="18"/>
    </row>
    <row r="954" spans="6:6" x14ac:dyDescent="0.2">
      <c r="F954" s="18"/>
    </row>
    <row r="955" spans="6:6" x14ac:dyDescent="0.2">
      <c r="F955" s="18"/>
    </row>
    <row r="956" spans="6:6" x14ac:dyDescent="0.2">
      <c r="F956" s="18"/>
    </row>
    <row r="957" spans="6:6" x14ac:dyDescent="0.2">
      <c r="F957" s="18"/>
    </row>
    <row r="958" spans="6:6" x14ac:dyDescent="0.2">
      <c r="F958" s="18"/>
    </row>
    <row r="959" spans="6:6" x14ac:dyDescent="0.2">
      <c r="F959" s="18"/>
    </row>
    <row r="960" spans="6:6" x14ac:dyDescent="0.2">
      <c r="F960" s="18"/>
    </row>
    <row r="961" spans="6:6" x14ac:dyDescent="0.2">
      <c r="F961" s="18"/>
    </row>
    <row r="962" spans="6:6" x14ac:dyDescent="0.2">
      <c r="F962" s="18"/>
    </row>
    <row r="963" spans="6:6" x14ac:dyDescent="0.2">
      <c r="F963" s="18"/>
    </row>
    <row r="964" spans="6:6" x14ac:dyDescent="0.2">
      <c r="F964" s="18"/>
    </row>
    <row r="965" spans="6:6" x14ac:dyDescent="0.2">
      <c r="F965" s="18"/>
    </row>
    <row r="966" spans="6:6" x14ac:dyDescent="0.2">
      <c r="F966" s="18"/>
    </row>
    <row r="967" spans="6:6" x14ac:dyDescent="0.2">
      <c r="F967" s="18"/>
    </row>
    <row r="968" spans="6:6" x14ac:dyDescent="0.2">
      <c r="F968" s="18"/>
    </row>
    <row r="969" spans="6:6" x14ac:dyDescent="0.2">
      <c r="F969" s="18"/>
    </row>
    <row r="970" spans="6:6" x14ac:dyDescent="0.2">
      <c r="F970" s="18"/>
    </row>
    <row r="971" spans="6:6" x14ac:dyDescent="0.2">
      <c r="F971" s="18"/>
    </row>
    <row r="972" spans="6:6" x14ac:dyDescent="0.2">
      <c r="F972" s="18"/>
    </row>
    <row r="973" spans="6:6" x14ac:dyDescent="0.2">
      <c r="F973" s="18"/>
    </row>
    <row r="974" spans="6:6" x14ac:dyDescent="0.2">
      <c r="F974" s="18"/>
    </row>
    <row r="975" spans="6:6" x14ac:dyDescent="0.2">
      <c r="F975" s="18"/>
    </row>
    <row r="976" spans="6:6" x14ac:dyDescent="0.2">
      <c r="F976" s="18"/>
    </row>
    <row r="977" spans="6:6" x14ac:dyDescent="0.2">
      <c r="F977" s="18"/>
    </row>
    <row r="978" spans="6:6" x14ac:dyDescent="0.2">
      <c r="F978" s="18"/>
    </row>
    <row r="979" spans="6:6" x14ac:dyDescent="0.2">
      <c r="F979" s="18"/>
    </row>
    <row r="980" spans="6:6" x14ac:dyDescent="0.2">
      <c r="F980" s="18"/>
    </row>
    <row r="981" spans="6:6" x14ac:dyDescent="0.2">
      <c r="F981" s="18"/>
    </row>
    <row r="982" spans="6:6" x14ac:dyDescent="0.2">
      <c r="F982" s="18"/>
    </row>
    <row r="983" spans="6:6" x14ac:dyDescent="0.2">
      <c r="F983" s="18"/>
    </row>
    <row r="984" spans="6:6" x14ac:dyDescent="0.2">
      <c r="F984" s="18"/>
    </row>
    <row r="985" spans="6:6" x14ac:dyDescent="0.2">
      <c r="F985" s="18"/>
    </row>
    <row r="986" spans="6:6" x14ac:dyDescent="0.2">
      <c r="F986" s="18"/>
    </row>
    <row r="987" spans="6:6" x14ac:dyDescent="0.2">
      <c r="F987" s="18"/>
    </row>
    <row r="988" spans="6:6" x14ac:dyDescent="0.2">
      <c r="F988" s="18"/>
    </row>
    <row r="989" spans="6:6" x14ac:dyDescent="0.2">
      <c r="F989" s="18"/>
    </row>
    <row r="990" spans="6:6" x14ac:dyDescent="0.2">
      <c r="F990" s="18"/>
    </row>
    <row r="991" spans="6:6" x14ac:dyDescent="0.2">
      <c r="F991" s="18"/>
    </row>
    <row r="992" spans="6:6" x14ac:dyDescent="0.2">
      <c r="F992" s="18"/>
    </row>
    <row r="993" spans="6:6" x14ac:dyDescent="0.2">
      <c r="F993" s="18"/>
    </row>
    <row r="994" spans="6:6" x14ac:dyDescent="0.2">
      <c r="F994" s="18"/>
    </row>
    <row r="995" spans="6:6" x14ac:dyDescent="0.2">
      <c r="F995" s="18"/>
    </row>
    <row r="996" spans="6:6" x14ac:dyDescent="0.2">
      <c r="F996" s="18"/>
    </row>
    <row r="997" spans="6:6" x14ac:dyDescent="0.2">
      <c r="F997" s="18"/>
    </row>
    <row r="998" spans="6:6" x14ac:dyDescent="0.2">
      <c r="F998" s="18"/>
    </row>
    <row r="999" spans="6:6" x14ac:dyDescent="0.2">
      <c r="F999" s="18"/>
    </row>
    <row r="1000" spans="6:6" x14ac:dyDescent="0.2">
      <c r="F1000" s="18"/>
    </row>
    <row r="1001" spans="6:6" x14ac:dyDescent="0.2">
      <c r="F1001" s="18"/>
    </row>
    <row r="1002" spans="6:6" x14ac:dyDescent="0.2">
      <c r="F1002" s="18"/>
    </row>
    <row r="1003" spans="6:6" x14ac:dyDescent="0.2">
      <c r="F1003" s="18"/>
    </row>
    <row r="1004" spans="6:6" x14ac:dyDescent="0.2">
      <c r="F1004" s="18"/>
    </row>
    <row r="1005" spans="6:6" x14ac:dyDescent="0.2">
      <c r="F1005" s="18"/>
    </row>
    <row r="1006" spans="6:6" x14ac:dyDescent="0.2">
      <c r="F1006" s="18"/>
    </row>
    <row r="1007" spans="6:6" x14ac:dyDescent="0.2">
      <c r="F1007" s="18"/>
    </row>
    <row r="1008" spans="6:6" x14ac:dyDescent="0.2">
      <c r="F1008" s="18"/>
    </row>
    <row r="1009" spans="6:6" x14ac:dyDescent="0.2">
      <c r="F1009" s="18"/>
    </row>
    <row r="1010" spans="6:6" x14ac:dyDescent="0.2">
      <c r="F1010" s="18"/>
    </row>
    <row r="1011" spans="6:6" x14ac:dyDescent="0.2">
      <c r="F1011" s="18"/>
    </row>
    <row r="1012" spans="6:6" x14ac:dyDescent="0.2">
      <c r="F1012" s="18"/>
    </row>
    <row r="1013" spans="6:6" x14ac:dyDescent="0.2">
      <c r="F1013" s="18"/>
    </row>
    <row r="1014" spans="6:6" x14ac:dyDescent="0.2">
      <c r="F1014" s="18"/>
    </row>
    <row r="1015" spans="6:6" x14ac:dyDescent="0.2">
      <c r="F1015" s="18"/>
    </row>
    <row r="1016" spans="6:6" x14ac:dyDescent="0.2">
      <c r="F1016" s="18"/>
    </row>
    <row r="1017" spans="6:6" x14ac:dyDescent="0.2">
      <c r="F1017" s="18"/>
    </row>
    <row r="1018" spans="6:6" x14ac:dyDescent="0.2">
      <c r="F1018" s="18"/>
    </row>
    <row r="1019" spans="6:6" x14ac:dyDescent="0.2">
      <c r="F1019" s="18"/>
    </row>
    <row r="1020" spans="6:6" x14ac:dyDescent="0.2">
      <c r="F1020" s="18"/>
    </row>
    <row r="1021" spans="6:6" x14ac:dyDescent="0.2">
      <c r="F1021" s="18"/>
    </row>
    <row r="1022" spans="6:6" x14ac:dyDescent="0.2">
      <c r="F1022" s="18"/>
    </row>
    <row r="1023" spans="6:6" x14ac:dyDescent="0.2">
      <c r="F1023" s="18"/>
    </row>
    <row r="1024" spans="6:6" x14ac:dyDescent="0.2">
      <c r="F1024" s="18"/>
    </row>
    <row r="1025" spans="6:6" x14ac:dyDescent="0.2">
      <c r="F1025" s="18"/>
    </row>
    <row r="1026" spans="6:6" x14ac:dyDescent="0.2">
      <c r="F1026" s="18"/>
    </row>
    <row r="1027" spans="6:6" x14ac:dyDescent="0.2">
      <c r="F1027" s="18"/>
    </row>
    <row r="1028" spans="6:6" x14ac:dyDescent="0.2">
      <c r="F1028" s="18"/>
    </row>
    <row r="1029" spans="6:6" x14ac:dyDescent="0.2">
      <c r="F1029" s="18"/>
    </row>
    <row r="1030" spans="6:6" x14ac:dyDescent="0.2">
      <c r="F1030" s="18"/>
    </row>
    <row r="1031" spans="6:6" x14ac:dyDescent="0.2">
      <c r="F1031" s="18"/>
    </row>
    <row r="1032" spans="6:6" x14ac:dyDescent="0.2">
      <c r="F1032" s="18"/>
    </row>
    <row r="1033" spans="6:6" x14ac:dyDescent="0.2">
      <c r="F1033" s="18"/>
    </row>
    <row r="1034" spans="6:6" x14ac:dyDescent="0.2">
      <c r="F1034" s="18"/>
    </row>
    <row r="1035" spans="6:6" x14ac:dyDescent="0.2">
      <c r="F1035" s="18"/>
    </row>
    <row r="1036" spans="6:6" x14ac:dyDescent="0.2">
      <c r="F1036" s="18"/>
    </row>
    <row r="1037" spans="6:6" x14ac:dyDescent="0.2">
      <c r="F1037" s="18"/>
    </row>
    <row r="1038" spans="6:6" x14ac:dyDescent="0.2">
      <c r="F1038" s="18"/>
    </row>
    <row r="1039" spans="6:6" x14ac:dyDescent="0.2">
      <c r="F1039" s="18"/>
    </row>
    <row r="1040" spans="6:6" x14ac:dyDescent="0.2">
      <c r="F1040" s="18"/>
    </row>
    <row r="1041" spans="6:6" x14ac:dyDescent="0.2">
      <c r="F1041" s="18"/>
    </row>
    <row r="1042" spans="6:6" x14ac:dyDescent="0.2">
      <c r="F1042" s="18"/>
    </row>
    <row r="1043" spans="6:6" x14ac:dyDescent="0.2">
      <c r="F1043" s="18"/>
    </row>
    <row r="1044" spans="6:6" x14ac:dyDescent="0.2">
      <c r="F1044" s="18"/>
    </row>
    <row r="1045" spans="6:6" x14ac:dyDescent="0.2">
      <c r="F1045" s="18"/>
    </row>
    <row r="1046" spans="6:6" x14ac:dyDescent="0.2">
      <c r="F1046" s="18"/>
    </row>
    <row r="1047" spans="6:6" x14ac:dyDescent="0.2">
      <c r="F1047" s="18"/>
    </row>
    <row r="1048" spans="6:6" x14ac:dyDescent="0.2">
      <c r="F1048" s="18"/>
    </row>
    <row r="1049" spans="6:6" x14ac:dyDescent="0.2">
      <c r="F1049" s="18"/>
    </row>
    <row r="1050" spans="6:6" x14ac:dyDescent="0.2">
      <c r="F1050" s="18"/>
    </row>
    <row r="1051" spans="6:6" x14ac:dyDescent="0.2">
      <c r="F1051" s="18"/>
    </row>
    <row r="1052" spans="6:6" x14ac:dyDescent="0.2">
      <c r="F1052" s="18"/>
    </row>
    <row r="1053" spans="6:6" x14ac:dyDescent="0.2">
      <c r="F1053" s="18"/>
    </row>
    <row r="1054" spans="6:6" x14ac:dyDescent="0.2">
      <c r="F1054" s="18"/>
    </row>
    <row r="1055" spans="6:6" x14ac:dyDescent="0.2">
      <c r="F1055" s="18"/>
    </row>
    <row r="1056" spans="6:6" x14ac:dyDescent="0.2">
      <c r="F1056" s="18"/>
    </row>
    <row r="1057" spans="6:6" x14ac:dyDescent="0.2">
      <c r="F1057" s="18"/>
    </row>
    <row r="1058" spans="6:6" x14ac:dyDescent="0.2">
      <c r="F1058" s="18"/>
    </row>
    <row r="1059" spans="6:6" x14ac:dyDescent="0.2">
      <c r="F1059" s="18"/>
    </row>
    <row r="1060" spans="6:6" x14ac:dyDescent="0.2">
      <c r="F1060" s="18"/>
    </row>
    <row r="1061" spans="6:6" x14ac:dyDescent="0.2">
      <c r="F1061" s="18"/>
    </row>
    <row r="1062" spans="6:6" x14ac:dyDescent="0.2">
      <c r="F1062" s="18"/>
    </row>
    <row r="1063" spans="6:6" x14ac:dyDescent="0.2">
      <c r="F1063" s="18"/>
    </row>
    <row r="1064" spans="6:6" x14ac:dyDescent="0.2">
      <c r="F1064" s="18"/>
    </row>
    <row r="1065" spans="6:6" x14ac:dyDescent="0.2">
      <c r="F1065" s="18"/>
    </row>
    <row r="1066" spans="6:6" x14ac:dyDescent="0.2">
      <c r="F1066" s="18"/>
    </row>
    <row r="1067" spans="6:6" x14ac:dyDescent="0.2">
      <c r="F1067" s="18"/>
    </row>
    <row r="1068" spans="6:6" x14ac:dyDescent="0.2">
      <c r="F1068" s="18"/>
    </row>
    <row r="1069" spans="6:6" x14ac:dyDescent="0.2">
      <c r="F1069" s="18"/>
    </row>
    <row r="1070" spans="6:6" x14ac:dyDescent="0.2">
      <c r="F1070" s="18"/>
    </row>
    <row r="1071" spans="6:6" x14ac:dyDescent="0.2">
      <c r="F1071" s="18"/>
    </row>
    <row r="1072" spans="6:6" x14ac:dyDescent="0.2">
      <c r="F1072" s="18"/>
    </row>
    <row r="1073" spans="6:6" x14ac:dyDescent="0.2">
      <c r="F1073" s="18"/>
    </row>
    <row r="1074" spans="6:6" x14ac:dyDescent="0.2">
      <c r="F1074" s="18"/>
    </row>
    <row r="1075" spans="6:6" x14ac:dyDescent="0.2">
      <c r="F1075" s="18"/>
    </row>
    <row r="1076" spans="6:6" x14ac:dyDescent="0.2">
      <c r="F1076" s="18"/>
    </row>
    <row r="1077" spans="6:6" x14ac:dyDescent="0.2">
      <c r="F1077" s="18"/>
    </row>
    <row r="1078" spans="6:6" x14ac:dyDescent="0.2">
      <c r="F1078" s="18"/>
    </row>
    <row r="1079" spans="6:6" x14ac:dyDescent="0.2">
      <c r="F1079" s="18"/>
    </row>
    <row r="1080" spans="6:6" x14ac:dyDescent="0.2">
      <c r="F1080" s="18"/>
    </row>
    <row r="1081" spans="6:6" x14ac:dyDescent="0.2">
      <c r="F1081" s="18"/>
    </row>
    <row r="1082" spans="6:6" x14ac:dyDescent="0.2">
      <c r="F1082" s="18"/>
    </row>
    <row r="1083" spans="6:6" x14ac:dyDescent="0.2">
      <c r="F1083" s="18"/>
    </row>
    <row r="1084" spans="6:6" x14ac:dyDescent="0.2">
      <c r="F1084" s="18"/>
    </row>
    <row r="1085" spans="6:6" x14ac:dyDescent="0.2">
      <c r="F1085" s="18"/>
    </row>
    <row r="1086" spans="6:6" x14ac:dyDescent="0.2">
      <c r="F1086" s="18"/>
    </row>
    <row r="1087" spans="6:6" x14ac:dyDescent="0.2">
      <c r="F1087" s="18"/>
    </row>
    <row r="1088" spans="6:6" x14ac:dyDescent="0.2">
      <c r="F1088" s="18"/>
    </row>
    <row r="1089" spans="6:6" x14ac:dyDescent="0.2">
      <c r="F1089" s="18"/>
    </row>
    <row r="1090" spans="6:6" x14ac:dyDescent="0.2">
      <c r="F1090" s="18"/>
    </row>
    <row r="1091" spans="6:6" x14ac:dyDescent="0.2">
      <c r="F1091" s="18"/>
    </row>
    <row r="1092" spans="6:6" x14ac:dyDescent="0.2">
      <c r="F1092" s="18"/>
    </row>
    <row r="1093" spans="6:6" x14ac:dyDescent="0.2">
      <c r="F1093" s="18"/>
    </row>
    <row r="1094" spans="6:6" x14ac:dyDescent="0.2">
      <c r="F1094" s="18"/>
    </row>
    <row r="1095" spans="6:6" x14ac:dyDescent="0.2">
      <c r="F1095" s="18"/>
    </row>
    <row r="1096" spans="6:6" x14ac:dyDescent="0.2">
      <c r="F1096" s="18"/>
    </row>
    <row r="1097" spans="6:6" x14ac:dyDescent="0.2">
      <c r="F1097" s="18"/>
    </row>
    <row r="1098" spans="6:6" x14ac:dyDescent="0.2">
      <c r="F1098" s="18"/>
    </row>
    <row r="1099" spans="6:6" x14ac:dyDescent="0.2">
      <c r="F1099" s="18"/>
    </row>
    <row r="1100" spans="6:6" x14ac:dyDescent="0.2">
      <c r="F1100" s="18"/>
    </row>
    <row r="1101" spans="6:6" x14ac:dyDescent="0.2">
      <c r="F1101" s="18"/>
    </row>
    <row r="1102" spans="6:6" x14ac:dyDescent="0.2">
      <c r="F1102" s="18"/>
    </row>
    <row r="1103" spans="6:6" x14ac:dyDescent="0.2">
      <c r="F1103" s="18"/>
    </row>
    <row r="1104" spans="6:6" x14ac:dyDescent="0.2">
      <c r="F1104" s="18"/>
    </row>
    <row r="1105" spans="6:6" x14ac:dyDescent="0.2">
      <c r="F1105" s="18"/>
    </row>
    <row r="1106" spans="6:6" x14ac:dyDescent="0.2">
      <c r="F1106" s="18"/>
    </row>
    <row r="1107" spans="6:6" x14ac:dyDescent="0.2">
      <c r="F1107" s="18"/>
    </row>
    <row r="1108" spans="6:6" x14ac:dyDescent="0.2">
      <c r="F1108" s="18"/>
    </row>
    <row r="1109" spans="6:6" x14ac:dyDescent="0.2">
      <c r="F1109" s="18"/>
    </row>
    <row r="1110" spans="6:6" x14ac:dyDescent="0.2">
      <c r="F1110" s="18"/>
    </row>
    <row r="1111" spans="6:6" x14ac:dyDescent="0.2">
      <c r="F1111" s="18"/>
    </row>
    <row r="1112" spans="6:6" x14ac:dyDescent="0.2">
      <c r="F1112" s="18"/>
    </row>
    <row r="1113" spans="6:6" x14ac:dyDescent="0.2">
      <c r="F1113" s="18"/>
    </row>
    <row r="1114" spans="6:6" x14ac:dyDescent="0.2">
      <c r="F1114" s="18"/>
    </row>
    <row r="1115" spans="6:6" x14ac:dyDescent="0.2">
      <c r="F1115" s="18"/>
    </row>
    <row r="1116" spans="6:6" x14ac:dyDescent="0.2">
      <c r="F1116" s="18"/>
    </row>
    <row r="1117" spans="6:6" x14ac:dyDescent="0.2">
      <c r="F1117" s="18"/>
    </row>
    <row r="1118" spans="6:6" x14ac:dyDescent="0.2">
      <c r="F1118" s="18"/>
    </row>
    <row r="1119" spans="6:6" x14ac:dyDescent="0.2">
      <c r="F1119" s="18"/>
    </row>
    <row r="1120" spans="6:6" x14ac:dyDescent="0.2">
      <c r="F1120" s="18"/>
    </row>
    <row r="1121" spans="6:6" x14ac:dyDescent="0.2">
      <c r="F1121" s="18"/>
    </row>
    <row r="1122" spans="6:6" x14ac:dyDescent="0.2">
      <c r="F1122" s="18"/>
    </row>
    <row r="1123" spans="6:6" x14ac:dyDescent="0.2">
      <c r="F1123" s="18"/>
    </row>
    <row r="1124" spans="6:6" x14ac:dyDescent="0.2">
      <c r="F1124" s="18"/>
    </row>
    <row r="1125" spans="6:6" x14ac:dyDescent="0.2">
      <c r="F1125" s="18"/>
    </row>
    <row r="1126" spans="6:6" x14ac:dyDescent="0.2">
      <c r="F1126" s="18"/>
    </row>
    <row r="1127" spans="6:6" x14ac:dyDescent="0.2">
      <c r="F1127" s="18"/>
    </row>
    <row r="1128" spans="6:6" x14ac:dyDescent="0.2">
      <c r="F1128" s="18"/>
    </row>
    <row r="1129" spans="6:6" x14ac:dyDescent="0.2">
      <c r="F1129" s="18"/>
    </row>
    <row r="1130" spans="6:6" x14ac:dyDescent="0.2">
      <c r="F1130" s="18"/>
    </row>
    <row r="1131" spans="6:6" x14ac:dyDescent="0.2">
      <c r="F1131" s="18"/>
    </row>
    <row r="1132" spans="6:6" x14ac:dyDescent="0.2">
      <c r="F1132" s="18"/>
    </row>
    <row r="1133" spans="6:6" x14ac:dyDescent="0.2">
      <c r="F1133" s="18"/>
    </row>
    <row r="1134" spans="6:6" x14ac:dyDescent="0.2">
      <c r="F1134" s="18"/>
    </row>
    <row r="1135" spans="6:6" x14ac:dyDescent="0.2">
      <c r="F1135" s="18"/>
    </row>
    <row r="1136" spans="6:6" x14ac:dyDescent="0.2">
      <c r="F1136" s="18"/>
    </row>
    <row r="1137" spans="6:6" x14ac:dyDescent="0.2">
      <c r="F1137" s="18"/>
    </row>
    <row r="1138" spans="6:6" x14ac:dyDescent="0.2">
      <c r="F1138" s="18"/>
    </row>
    <row r="1139" spans="6:6" x14ac:dyDescent="0.2">
      <c r="F1139" s="18"/>
    </row>
    <row r="1140" spans="6:6" x14ac:dyDescent="0.2">
      <c r="F1140" s="18"/>
    </row>
    <row r="1141" spans="6:6" x14ac:dyDescent="0.2">
      <c r="F1141" s="18"/>
    </row>
    <row r="1142" spans="6:6" x14ac:dyDescent="0.2">
      <c r="F1142" s="18"/>
    </row>
    <row r="1143" spans="6:6" x14ac:dyDescent="0.2">
      <c r="F1143" s="18"/>
    </row>
    <row r="1144" spans="6:6" x14ac:dyDescent="0.2">
      <c r="F1144" s="18"/>
    </row>
    <row r="1145" spans="6:6" x14ac:dyDescent="0.2">
      <c r="F1145" s="18"/>
    </row>
    <row r="1146" spans="6:6" x14ac:dyDescent="0.2">
      <c r="F1146" s="18"/>
    </row>
    <row r="1147" spans="6:6" x14ac:dyDescent="0.2">
      <c r="F1147" s="18"/>
    </row>
    <row r="1148" spans="6:6" x14ac:dyDescent="0.2">
      <c r="F1148" s="18"/>
    </row>
    <row r="1149" spans="6:6" x14ac:dyDescent="0.2">
      <c r="F1149" s="18"/>
    </row>
    <row r="1150" spans="6:6" x14ac:dyDescent="0.2">
      <c r="F1150" s="18"/>
    </row>
    <row r="1151" spans="6:6" x14ac:dyDescent="0.2">
      <c r="F1151" s="18"/>
    </row>
    <row r="1152" spans="6:6" x14ac:dyDescent="0.2">
      <c r="F1152" s="18"/>
    </row>
    <row r="1153" spans="6:6" x14ac:dyDescent="0.2">
      <c r="F1153" s="18"/>
    </row>
    <row r="1154" spans="6:6" x14ac:dyDescent="0.2">
      <c r="F1154" s="18"/>
    </row>
    <row r="1155" spans="6:6" x14ac:dyDescent="0.2">
      <c r="F1155" s="18"/>
    </row>
    <row r="1156" spans="6:6" x14ac:dyDescent="0.2">
      <c r="F1156" s="18"/>
    </row>
    <row r="1157" spans="6:6" x14ac:dyDescent="0.2">
      <c r="F1157" s="18"/>
    </row>
    <row r="1158" spans="6:6" x14ac:dyDescent="0.2">
      <c r="F1158" s="18"/>
    </row>
    <row r="1159" spans="6:6" x14ac:dyDescent="0.2">
      <c r="F1159" s="18"/>
    </row>
    <row r="1160" spans="6:6" x14ac:dyDescent="0.2">
      <c r="F1160" s="18"/>
    </row>
    <row r="1161" spans="6:6" x14ac:dyDescent="0.2">
      <c r="F1161" s="18"/>
    </row>
    <row r="1162" spans="6:6" x14ac:dyDescent="0.2">
      <c r="F1162" s="18"/>
    </row>
    <row r="1163" spans="6:6" x14ac:dyDescent="0.2">
      <c r="F1163" s="18"/>
    </row>
    <row r="1164" spans="6:6" x14ac:dyDescent="0.2">
      <c r="F1164" s="18"/>
    </row>
    <row r="1165" spans="6:6" x14ac:dyDescent="0.2">
      <c r="F1165" s="18"/>
    </row>
    <row r="1166" spans="6:6" x14ac:dyDescent="0.2">
      <c r="F1166" s="18"/>
    </row>
    <row r="1167" spans="6:6" x14ac:dyDescent="0.2">
      <c r="F1167" s="18"/>
    </row>
    <row r="1168" spans="6:6" x14ac:dyDescent="0.2">
      <c r="F1168" s="18"/>
    </row>
    <row r="1169" spans="6:6" x14ac:dyDescent="0.2">
      <c r="F1169" s="18"/>
    </row>
    <row r="1170" spans="6:6" x14ac:dyDescent="0.2">
      <c r="F1170" s="18"/>
    </row>
    <row r="1171" spans="6:6" x14ac:dyDescent="0.2">
      <c r="F1171" s="18"/>
    </row>
    <row r="1172" spans="6:6" x14ac:dyDescent="0.2">
      <c r="F1172" s="18"/>
    </row>
    <row r="1173" spans="6:6" x14ac:dyDescent="0.2">
      <c r="F1173" s="18"/>
    </row>
    <row r="1174" spans="6:6" x14ac:dyDescent="0.2">
      <c r="F1174" s="18"/>
    </row>
    <row r="1175" spans="6:6" x14ac:dyDescent="0.2">
      <c r="F1175" s="18"/>
    </row>
    <row r="1176" spans="6:6" x14ac:dyDescent="0.2">
      <c r="F1176" s="18"/>
    </row>
    <row r="1177" spans="6:6" x14ac:dyDescent="0.2">
      <c r="F1177" s="18"/>
    </row>
    <row r="1178" spans="6:6" x14ac:dyDescent="0.2">
      <c r="F1178" s="18"/>
    </row>
    <row r="1179" spans="6:6" x14ac:dyDescent="0.2">
      <c r="F1179" s="18"/>
    </row>
    <row r="1180" spans="6:6" x14ac:dyDescent="0.2">
      <c r="F1180" s="18"/>
    </row>
    <row r="1181" spans="6:6" x14ac:dyDescent="0.2">
      <c r="F1181" s="18"/>
    </row>
    <row r="1182" spans="6:6" x14ac:dyDescent="0.2">
      <c r="F1182" s="18"/>
    </row>
    <row r="1183" spans="6:6" x14ac:dyDescent="0.2">
      <c r="F1183" s="18"/>
    </row>
    <row r="1184" spans="6:6" x14ac:dyDescent="0.2">
      <c r="F1184" s="18"/>
    </row>
    <row r="1185" spans="6:6" x14ac:dyDescent="0.2">
      <c r="F1185" s="18"/>
    </row>
    <row r="1186" spans="6:6" x14ac:dyDescent="0.2">
      <c r="F1186" s="18"/>
    </row>
    <row r="1187" spans="6:6" x14ac:dyDescent="0.2">
      <c r="F1187" s="18"/>
    </row>
    <row r="1188" spans="6:6" x14ac:dyDescent="0.2">
      <c r="F1188" s="18"/>
    </row>
    <row r="1189" spans="6:6" x14ac:dyDescent="0.2">
      <c r="F1189" s="18"/>
    </row>
    <row r="1190" spans="6:6" x14ac:dyDescent="0.2">
      <c r="F1190" s="18"/>
    </row>
    <row r="1191" spans="6:6" x14ac:dyDescent="0.2">
      <c r="F1191" s="18"/>
    </row>
    <row r="1192" spans="6:6" x14ac:dyDescent="0.2">
      <c r="F1192" s="18"/>
    </row>
    <row r="1193" spans="6:6" x14ac:dyDescent="0.2">
      <c r="F1193" s="18"/>
    </row>
    <row r="1194" spans="6:6" x14ac:dyDescent="0.2">
      <c r="F1194" s="18"/>
    </row>
    <row r="1195" spans="6:6" x14ac:dyDescent="0.2">
      <c r="F1195" s="18"/>
    </row>
    <row r="1196" spans="6:6" x14ac:dyDescent="0.2">
      <c r="F1196" s="18"/>
    </row>
    <row r="1197" spans="6:6" x14ac:dyDescent="0.2">
      <c r="F1197" s="18"/>
    </row>
    <row r="1198" spans="6:6" x14ac:dyDescent="0.2">
      <c r="F1198" s="18"/>
    </row>
    <row r="1199" spans="6:6" x14ac:dyDescent="0.2">
      <c r="F1199" s="18"/>
    </row>
    <row r="1200" spans="6:6" x14ac:dyDescent="0.2">
      <c r="F1200" s="18"/>
    </row>
    <row r="1201" spans="6:6" x14ac:dyDescent="0.2">
      <c r="F1201" s="18"/>
    </row>
    <row r="1202" spans="6:6" x14ac:dyDescent="0.2">
      <c r="F1202" s="18"/>
    </row>
    <row r="1203" spans="6:6" x14ac:dyDescent="0.2">
      <c r="F1203" s="18"/>
    </row>
    <row r="1204" spans="6:6" x14ac:dyDescent="0.2">
      <c r="F1204" s="18"/>
    </row>
    <row r="1205" spans="6:6" x14ac:dyDescent="0.2">
      <c r="F1205" s="18"/>
    </row>
    <row r="1206" spans="6:6" x14ac:dyDescent="0.2">
      <c r="F1206" s="18"/>
    </row>
    <row r="1207" spans="6:6" x14ac:dyDescent="0.2">
      <c r="F1207" s="18"/>
    </row>
    <row r="1208" spans="6:6" x14ac:dyDescent="0.2">
      <c r="F1208" s="18"/>
    </row>
    <row r="1209" spans="6:6" x14ac:dyDescent="0.2">
      <c r="F1209" s="18"/>
    </row>
  </sheetData>
  <mergeCells count="6">
    <mergeCell ref="F11:I11"/>
    <mergeCell ref="C31:D31"/>
    <mergeCell ref="B3:I3"/>
    <mergeCell ref="C4:I4"/>
    <mergeCell ref="C5:I5"/>
    <mergeCell ref="C9:I9"/>
  </mergeCells>
  <phoneticPr fontId="5" type="noConversion"/>
  <pageMargins left="0.75" right="0.75" top="1" bottom="1" header="0" footer="0"/>
  <pageSetup scale="77" orientation="portrait" r:id="rId1"/>
  <headerFooter alignWithMargins="0"/>
  <rowBreaks count="1" manualBreakCount="1">
    <brk id="2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1:Q44"/>
  <sheetViews>
    <sheetView topLeftCell="C1" workbookViewId="0">
      <selection activeCell="I17" sqref="I17"/>
    </sheetView>
  </sheetViews>
  <sheetFormatPr baseColWidth="10" defaultRowHeight="12.75" x14ac:dyDescent="0.2"/>
  <cols>
    <col min="1" max="2" width="11.42578125" style="6"/>
    <col min="3" max="4" width="12.7109375" style="8" customWidth="1"/>
    <col min="5" max="5" width="12.7109375" style="48" customWidth="1"/>
    <col min="6" max="7" width="12.7109375" style="39" customWidth="1"/>
    <col min="8" max="15" width="11.42578125" style="6"/>
    <col min="16" max="17" width="11.42578125" style="39"/>
    <col min="18" max="16384" width="11.42578125" style="6"/>
  </cols>
  <sheetData>
    <row r="1" spans="3:17" ht="15.75" x14ac:dyDescent="0.25">
      <c r="C1" s="193" t="s">
        <v>41</v>
      </c>
      <c r="D1" s="193"/>
      <c r="E1" s="193"/>
      <c r="F1" s="193"/>
      <c r="G1" s="193"/>
    </row>
    <row r="3" spans="3:17" ht="38.25" x14ac:dyDescent="0.2">
      <c r="C3" s="194" t="s">
        <v>42</v>
      </c>
      <c r="D3" s="197" t="s">
        <v>43</v>
      </c>
      <c r="E3" s="45" t="s">
        <v>39</v>
      </c>
      <c r="F3" s="45" t="s">
        <v>44</v>
      </c>
      <c r="G3" s="195" t="s">
        <v>40</v>
      </c>
      <c r="P3" s="6"/>
      <c r="Q3" s="6"/>
    </row>
    <row r="4" spans="3:17" x14ac:dyDescent="0.2">
      <c r="C4" s="194"/>
      <c r="D4" s="198"/>
      <c r="E4" s="46">
        <v>0.25</v>
      </c>
      <c r="F4" s="47">
        <v>15</v>
      </c>
      <c r="G4" s="196"/>
      <c r="L4" s="6">
        <v>1</v>
      </c>
      <c r="M4" s="6" t="s">
        <v>47</v>
      </c>
      <c r="P4" s="6"/>
      <c r="Q4" s="6"/>
    </row>
    <row r="5" spans="3:17" x14ac:dyDescent="0.2">
      <c r="C5" s="151">
        <v>1</v>
      </c>
      <c r="D5" s="151">
        <v>6</v>
      </c>
      <c r="E5" s="152">
        <f>+(D5*E$4)/365</f>
        <v>4.10958904109589E-3</v>
      </c>
      <c r="F5" s="153">
        <f>+F$4/365</f>
        <v>4.1095890410958902E-2</v>
      </c>
      <c r="G5" s="153">
        <f>1+E5+F5</f>
        <v>1.0452054794520547</v>
      </c>
      <c r="H5" s="146">
        <v>150</v>
      </c>
      <c r="I5" s="146">
        <f>+G5*H5</f>
        <v>156.7808219178082</v>
      </c>
      <c r="L5" s="6">
        <v>2</v>
      </c>
      <c r="M5" s="6" t="s">
        <v>48</v>
      </c>
      <c r="P5" s="6"/>
      <c r="Q5" s="6"/>
    </row>
    <row r="6" spans="3:17" x14ac:dyDescent="0.2">
      <c r="C6" s="151">
        <v>2</v>
      </c>
      <c r="D6" s="151">
        <v>8</v>
      </c>
      <c r="E6" s="152">
        <f t="shared" ref="E6:E44" si="0">+(D6*E$4)/365</f>
        <v>5.4794520547945206E-3</v>
      </c>
      <c r="F6" s="153">
        <f t="shared" ref="F6:F44" si="1">+F$4/365</f>
        <v>4.1095890410958902E-2</v>
      </c>
      <c r="G6" s="153">
        <f t="shared" ref="G6:G44" si="2">1+E6+F6</f>
        <v>1.0465753424657533</v>
      </c>
      <c r="H6" s="146"/>
      <c r="I6" s="146">
        <f t="shared" ref="I6:I44" si="3">+G6*H6</f>
        <v>0</v>
      </c>
      <c r="L6" s="6">
        <v>3</v>
      </c>
      <c r="M6" s="6" t="s">
        <v>49</v>
      </c>
      <c r="P6" s="6"/>
      <c r="Q6" s="6"/>
    </row>
    <row r="7" spans="3:17" x14ac:dyDescent="0.2">
      <c r="C7" s="151">
        <v>3</v>
      </c>
      <c r="D7" s="151">
        <v>10</v>
      </c>
      <c r="E7" s="152">
        <f t="shared" si="0"/>
        <v>6.8493150684931503E-3</v>
      </c>
      <c r="F7" s="153">
        <f t="shared" si="1"/>
        <v>4.1095890410958902E-2</v>
      </c>
      <c r="G7" s="153">
        <f t="shared" si="2"/>
        <v>1.047945205479452</v>
      </c>
      <c r="H7" s="146"/>
      <c r="I7" s="146">
        <f t="shared" si="3"/>
        <v>0</v>
      </c>
      <c r="L7" s="6">
        <v>4</v>
      </c>
      <c r="M7" s="6" t="s">
        <v>50</v>
      </c>
      <c r="P7" s="6"/>
      <c r="Q7" s="6"/>
    </row>
    <row r="8" spans="3:17" x14ac:dyDescent="0.2">
      <c r="C8" s="151">
        <v>4</v>
      </c>
      <c r="D8" s="151">
        <v>12</v>
      </c>
      <c r="E8" s="152">
        <f t="shared" si="0"/>
        <v>8.21917808219178E-3</v>
      </c>
      <c r="F8" s="153">
        <f t="shared" si="1"/>
        <v>4.1095890410958902E-2</v>
      </c>
      <c r="G8" s="153">
        <f t="shared" si="2"/>
        <v>1.0493150684931507</v>
      </c>
      <c r="H8" s="146">
        <v>303.95999999999998</v>
      </c>
      <c r="I8" s="146">
        <f t="shared" si="3"/>
        <v>318.94980821917807</v>
      </c>
      <c r="L8" s="6">
        <v>5</v>
      </c>
      <c r="M8" s="6" t="s">
        <v>51</v>
      </c>
      <c r="P8" s="6"/>
      <c r="Q8" s="6"/>
    </row>
    <row r="9" spans="3:17" x14ac:dyDescent="0.2">
      <c r="C9" s="151">
        <v>5</v>
      </c>
      <c r="D9" s="151">
        <v>14</v>
      </c>
      <c r="E9" s="152">
        <f t="shared" si="0"/>
        <v>9.5890410958904115E-3</v>
      </c>
      <c r="F9" s="153">
        <f t="shared" si="1"/>
        <v>4.1095890410958902E-2</v>
      </c>
      <c r="G9" s="153">
        <f t="shared" si="2"/>
        <v>1.0506849315068492</v>
      </c>
      <c r="H9" s="146">
        <v>303.95999999999998</v>
      </c>
      <c r="I9" s="146">
        <f t="shared" si="3"/>
        <v>319.36619178082185</v>
      </c>
      <c r="L9" s="6">
        <v>6</v>
      </c>
      <c r="M9" s="6" t="s">
        <v>52</v>
      </c>
      <c r="P9" s="6"/>
      <c r="Q9" s="6"/>
    </row>
    <row r="10" spans="3:17" x14ac:dyDescent="0.2">
      <c r="C10" s="151">
        <v>6</v>
      </c>
      <c r="D10" s="151">
        <v>14</v>
      </c>
      <c r="E10" s="152">
        <f t="shared" si="0"/>
        <v>9.5890410958904115E-3</v>
      </c>
      <c r="F10" s="153">
        <f t="shared" si="1"/>
        <v>4.1095890410958902E-2</v>
      </c>
      <c r="G10" s="153">
        <f t="shared" si="2"/>
        <v>1.0506849315068492</v>
      </c>
      <c r="H10" s="146"/>
      <c r="I10" s="146">
        <f t="shared" si="3"/>
        <v>0</v>
      </c>
      <c r="L10" s="6">
        <v>7</v>
      </c>
      <c r="M10" s="6" t="s">
        <v>53</v>
      </c>
      <c r="P10" s="6"/>
      <c r="Q10" s="6"/>
    </row>
    <row r="11" spans="3:17" x14ac:dyDescent="0.2">
      <c r="C11" s="151">
        <v>7</v>
      </c>
      <c r="D11" s="151">
        <v>14</v>
      </c>
      <c r="E11" s="152">
        <f t="shared" si="0"/>
        <v>9.5890410958904115E-3</v>
      </c>
      <c r="F11" s="153">
        <f t="shared" si="1"/>
        <v>4.1095890410958902E-2</v>
      </c>
      <c r="G11" s="153">
        <f t="shared" si="2"/>
        <v>1.0506849315068492</v>
      </c>
      <c r="H11" s="146"/>
      <c r="I11" s="146">
        <f t="shared" si="3"/>
        <v>0</v>
      </c>
      <c r="L11" s="6">
        <v>8</v>
      </c>
      <c r="M11" s="6" t="s">
        <v>54</v>
      </c>
      <c r="P11" s="6"/>
      <c r="Q11" s="6"/>
    </row>
    <row r="12" spans="3:17" x14ac:dyDescent="0.2">
      <c r="C12" s="151">
        <v>8</v>
      </c>
      <c r="D12" s="151">
        <v>14</v>
      </c>
      <c r="E12" s="152">
        <f t="shared" si="0"/>
        <v>9.5890410958904115E-3</v>
      </c>
      <c r="F12" s="153">
        <f t="shared" si="1"/>
        <v>4.1095890410958902E-2</v>
      </c>
      <c r="G12" s="153">
        <f t="shared" si="2"/>
        <v>1.0506849315068492</v>
      </c>
      <c r="H12" s="146"/>
      <c r="I12" s="146">
        <f t="shared" si="3"/>
        <v>0</v>
      </c>
      <c r="L12" s="6">
        <v>9</v>
      </c>
      <c r="M12" s="6" t="s">
        <v>55</v>
      </c>
      <c r="P12" s="6"/>
      <c r="Q12" s="6"/>
    </row>
    <row r="13" spans="3:17" x14ac:dyDescent="0.2">
      <c r="C13" s="151">
        <v>9</v>
      </c>
      <c r="D13" s="151">
        <v>14</v>
      </c>
      <c r="E13" s="152">
        <f t="shared" si="0"/>
        <v>9.5890410958904115E-3</v>
      </c>
      <c r="F13" s="153">
        <f t="shared" si="1"/>
        <v>4.1095890410958902E-2</v>
      </c>
      <c r="G13" s="153">
        <f t="shared" si="2"/>
        <v>1.0506849315068492</v>
      </c>
      <c r="H13" s="146"/>
      <c r="I13" s="146">
        <f t="shared" si="3"/>
        <v>0</v>
      </c>
      <c r="L13" s="6">
        <v>10</v>
      </c>
      <c r="M13" s="6" t="s">
        <v>56</v>
      </c>
      <c r="P13" s="6"/>
      <c r="Q13" s="6"/>
    </row>
    <row r="14" spans="3:17" x14ac:dyDescent="0.2">
      <c r="C14" s="151">
        <v>10</v>
      </c>
      <c r="D14" s="151">
        <v>16</v>
      </c>
      <c r="E14" s="152">
        <f t="shared" si="0"/>
        <v>1.0958904109589041E-2</v>
      </c>
      <c r="F14" s="153">
        <f t="shared" si="1"/>
        <v>4.1095890410958902E-2</v>
      </c>
      <c r="G14" s="153">
        <f t="shared" si="2"/>
        <v>1.0520547945205478</v>
      </c>
      <c r="H14" s="146"/>
      <c r="I14" s="146">
        <f t="shared" si="3"/>
        <v>0</v>
      </c>
      <c r="L14" s="6">
        <v>11</v>
      </c>
      <c r="M14" s="6" t="s">
        <v>57</v>
      </c>
      <c r="P14" s="6"/>
      <c r="Q14" s="6"/>
    </row>
    <row r="15" spans="3:17" x14ac:dyDescent="0.2">
      <c r="C15" s="151">
        <v>11</v>
      </c>
      <c r="D15" s="151">
        <v>16</v>
      </c>
      <c r="E15" s="152">
        <f t="shared" si="0"/>
        <v>1.0958904109589041E-2</v>
      </c>
      <c r="F15" s="153">
        <f t="shared" si="1"/>
        <v>4.1095890410958902E-2</v>
      </c>
      <c r="G15" s="153">
        <f t="shared" si="2"/>
        <v>1.0520547945205478</v>
      </c>
      <c r="H15" s="146"/>
      <c r="I15" s="146">
        <f t="shared" si="3"/>
        <v>0</v>
      </c>
      <c r="L15" s="6">
        <v>12</v>
      </c>
      <c r="M15" s="6" t="s">
        <v>58</v>
      </c>
      <c r="P15" s="6"/>
      <c r="Q15" s="6"/>
    </row>
    <row r="16" spans="3:17" x14ac:dyDescent="0.2">
      <c r="C16" s="151">
        <v>12</v>
      </c>
      <c r="D16" s="151">
        <v>16</v>
      </c>
      <c r="E16" s="152">
        <f t="shared" si="0"/>
        <v>1.0958904109589041E-2</v>
      </c>
      <c r="F16" s="153">
        <f t="shared" si="1"/>
        <v>4.1095890410958902E-2</v>
      </c>
      <c r="G16" s="153">
        <f t="shared" si="2"/>
        <v>1.0520547945205478</v>
      </c>
      <c r="H16" s="146"/>
      <c r="I16" s="146">
        <f t="shared" si="3"/>
        <v>0</v>
      </c>
      <c r="P16" s="6"/>
      <c r="Q16" s="6"/>
    </row>
    <row r="17" spans="3:17" x14ac:dyDescent="0.2">
      <c r="C17" s="151">
        <v>13</v>
      </c>
      <c r="D17" s="151">
        <v>16</v>
      </c>
      <c r="E17" s="152">
        <f t="shared" si="0"/>
        <v>1.0958904109589041E-2</v>
      </c>
      <c r="F17" s="153">
        <f t="shared" si="1"/>
        <v>4.1095890410958902E-2</v>
      </c>
      <c r="G17" s="153">
        <f t="shared" si="2"/>
        <v>1.0520547945205478</v>
      </c>
      <c r="H17" s="146"/>
      <c r="I17" s="146">
        <f t="shared" si="3"/>
        <v>0</v>
      </c>
      <c r="P17" s="6"/>
      <c r="Q17" s="6"/>
    </row>
    <row r="18" spans="3:17" x14ac:dyDescent="0.2">
      <c r="C18" s="151">
        <v>14</v>
      </c>
      <c r="D18" s="151">
        <v>16</v>
      </c>
      <c r="E18" s="152">
        <f t="shared" si="0"/>
        <v>1.0958904109589041E-2</v>
      </c>
      <c r="F18" s="153">
        <f t="shared" si="1"/>
        <v>4.1095890410958902E-2</v>
      </c>
      <c r="G18" s="153">
        <f t="shared" si="2"/>
        <v>1.0520547945205478</v>
      </c>
      <c r="H18" s="146"/>
      <c r="I18" s="146">
        <f t="shared" si="3"/>
        <v>0</v>
      </c>
      <c r="P18" s="6"/>
      <c r="Q18" s="6"/>
    </row>
    <row r="19" spans="3:17" x14ac:dyDescent="0.2">
      <c r="C19" s="151">
        <v>15</v>
      </c>
      <c r="D19" s="151">
        <v>18</v>
      </c>
      <c r="E19" s="152">
        <f t="shared" si="0"/>
        <v>1.2328767123287671E-2</v>
      </c>
      <c r="F19" s="153">
        <f t="shared" si="1"/>
        <v>4.1095890410958902E-2</v>
      </c>
      <c r="G19" s="153">
        <f t="shared" si="2"/>
        <v>1.0534246575342465</v>
      </c>
      <c r="H19" s="146"/>
      <c r="I19" s="146">
        <f t="shared" si="3"/>
        <v>0</v>
      </c>
      <c r="P19" s="6"/>
      <c r="Q19" s="6"/>
    </row>
    <row r="20" spans="3:17" x14ac:dyDescent="0.2">
      <c r="C20" s="151">
        <v>16</v>
      </c>
      <c r="D20" s="151">
        <v>18</v>
      </c>
      <c r="E20" s="152">
        <f t="shared" si="0"/>
        <v>1.2328767123287671E-2</v>
      </c>
      <c r="F20" s="153">
        <f t="shared" si="1"/>
        <v>4.1095890410958902E-2</v>
      </c>
      <c r="G20" s="153">
        <f t="shared" si="2"/>
        <v>1.0534246575342465</v>
      </c>
      <c r="H20" s="146"/>
      <c r="I20" s="146">
        <f t="shared" si="3"/>
        <v>0</v>
      </c>
      <c r="P20" s="6"/>
      <c r="Q20" s="6"/>
    </row>
    <row r="21" spans="3:17" x14ac:dyDescent="0.2">
      <c r="C21" s="151">
        <v>17</v>
      </c>
      <c r="D21" s="151">
        <v>18</v>
      </c>
      <c r="E21" s="152">
        <f t="shared" si="0"/>
        <v>1.2328767123287671E-2</v>
      </c>
      <c r="F21" s="153">
        <f t="shared" si="1"/>
        <v>4.1095890410958902E-2</v>
      </c>
      <c r="G21" s="153">
        <f t="shared" si="2"/>
        <v>1.0534246575342465</v>
      </c>
      <c r="H21" s="146"/>
      <c r="I21" s="146">
        <f t="shared" si="3"/>
        <v>0</v>
      </c>
      <c r="P21" s="6"/>
      <c r="Q21" s="6"/>
    </row>
    <row r="22" spans="3:17" x14ac:dyDescent="0.2">
      <c r="C22" s="151">
        <v>18</v>
      </c>
      <c r="D22" s="151">
        <v>18</v>
      </c>
      <c r="E22" s="152">
        <f t="shared" si="0"/>
        <v>1.2328767123287671E-2</v>
      </c>
      <c r="F22" s="153">
        <f t="shared" si="1"/>
        <v>4.1095890410958902E-2</v>
      </c>
      <c r="G22" s="153">
        <f t="shared" si="2"/>
        <v>1.0534246575342465</v>
      </c>
      <c r="H22" s="146"/>
      <c r="I22" s="146">
        <f t="shared" si="3"/>
        <v>0</v>
      </c>
      <c r="P22" s="6"/>
      <c r="Q22" s="6"/>
    </row>
    <row r="23" spans="3:17" x14ac:dyDescent="0.2">
      <c r="C23" s="151">
        <v>19</v>
      </c>
      <c r="D23" s="151">
        <v>18</v>
      </c>
      <c r="E23" s="152">
        <f t="shared" si="0"/>
        <v>1.2328767123287671E-2</v>
      </c>
      <c r="F23" s="153">
        <f t="shared" si="1"/>
        <v>4.1095890410958902E-2</v>
      </c>
      <c r="G23" s="153">
        <f t="shared" si="2"/>
        <v>1.0534246575342465</v>
      </c>
      <c r="H23" s="146"/>
      <c r="I23" s="146">
        <f t="shared" si="3"/>
        <v>0</v>
      </c>
      <c r="P23" s="6"/>
      <c r="Q23" s="6"/>
    </row>
    <row r="24" spans="3:17" x14ac:dyDescent="0.2">
      <c r="C24" s="151">
        <v>20</v>
      </c>
      <c r="D24" s="151">
        <v>20</v>
      </c>
      <c r="E24" s="152">
        <f t="shared" si="0"/>
        <v>1.3698630136986301E-2</v>
      </c>
      <c r="F24" s="153">
        <f t="shared" si="1"/>
        <v>4.1095890410958902E-2</v>
      </c>
      <c r="G24" s="153">
        <f t="shared" si="2"/>
        <v>1.0547945205479452</v>
      </c>
      <c r="H24" s="146"/>
      <c r="I24" s="146">
        <f t="shared" si="3"/>
        <v>0</v>
      </c>
      <c r="P24" s="6"/>
      <c r="Q24" s="6"/>
    </row>
    <row r="25" spans="3:17" x14ac:dyDescent="0.2">
      <c r="C25" s="151">
        <v>21</v>
      </c>
      <c r="D25" s="151">
        <v>20</v>
      </c>
      <c r="E25" s="152">
        <f t="shared" si="0"/>
        <v>1.3698630136986301E-2</v>
      </c>
      <c r="F25" s="153">
        <f t="shared" si="1"/>
        <v>4.1095890410958902E-2</v>
      </c>
      <c r="G25" s="153">
        <f t="shared" si="2"/>
        <v>1.0547945205479452</v>
      </c>
      <c r="H25" s="146"/>
      <c r="I25" s="146">
        <f t="shared" si="3"/>
        <v>0</v>
      </c>
      <c r="P25" s="6"/>
      <c r="Q25" s="6"/>
    </row>
    <row r="26" spans="3:17" x14ac:dyDescent="0.2">
      <c r="C26" s="151">
        <v>22</v>
      </c>
      <c r="D26" s="151">
        <v>20</v>
      </c>
      <c r="E26" s="152">
        <f t="shared" si="0"/>
        <v>1.3698630136986301E-2</v>
      </c>
      <c r="F26" s="153">
        <f t="shared" si="1"/>
        <v>4.1095890410958902E-2</v>
      </c>
      <c r="G26" s="153">
        <f t="shared" si="2"/>
        <v>1.0547945205479452</v>
      </c>
      <c r="H26" s="146"/>
      <c r="I26" s="146">
        <f t="shared" si="3"/>
        <v>0</v>
      </c>
      <c r="P26" s="6"/>
      <c r="Q26" s="6"/>
    </row>
    <row r="27" spans="3:17" x14ac:dyDescent="0.2">
      <c r="C27" s="151">
        <v>23</v>
      </c>
      <c r="D27" s="151">
        <v>20</v>
      </c>
      <c r="E27" s="152">
        <f t="shared" si="0"/>
        <v>1.3698630136986301E-2</v>
      </c>
      <c r="F27" s="153">
        <f t="shared" si="1"/>
        <v>4.1095890410958902E-2</v>
      </c>
      <c r="G27" s="153">
        <f t="shared" si="2"/>
        <v>1.0547945205479452</v>
      </c>
      <c r="H27" s="146"/>
      <c r="I27" s="146">
        <f t="shared" si="3"/>
        <v>0</v>
      </c>
      <c r="J27" s="6" t="s">
        <v>73</v>
      </c>
      <c r="K27" s="6" t="s">
        <v>74</v>
      </c>
      <c r="L27" s="6" t="s">
        <v>77</v>
      </c>
      <c r="M27" s="6" t="s">
        <v>78</v>
      </c>
      <c r="P27" s="6"/>
      <c r="Q27" s="6"/>
    </row>
    <row r="28" spans="3:17" x14ac:dyDescent="0.2">
      <c r="C28" s="151">
        <v>24</v>
      </c>
      <c r="D28" s="151">
        <v>20</v>
      </c>
      <c r="E28" s="152">
        <f t="shared" si="0"/>
        <v>1.3698630136986301E-2</v>
      </c>
      <c r="F28" s="153">
        <f t="shared" si="1"/>
        <v>4.1095890410958902E-2</v>
      </c>
      <c r="G28" s="153">
        <f t="shared" si="2"/>
        <v>1.0547945205479452</v>
      </c>
      <c r="H28" s="146"/>
      <c r="I28" s="146">
        <f t="shared" si="3"/>
        <v>0</v>
      </c>
      <c r="M28" s="6" t="s">
        <v>79</v>
      </c>
      <c r="P28" s="6"/>
      <c r="Q28" s="6"/>
    </row>
    <row r="29" spans="3:17" x14ac:dyDescent="0.2">
      <c r="C29" s="151">
        <v>25</v>
      </c>
      <c r="D29" s="151">
        <v>22</v>
      </c>
      <c r="E29" s="152">
        <f t="shared" si="0"/>
        <v>1.5068493150684932E-2</v>
      </c>
      <c r="F29" s="153">
        <f t="shared" si="1"/>
        <v>4.1095890410958902E-2</v>
      </c>
      <c r="G29" s="153">
        <f t="shared" si="2"/>
        <v>1.0561643835616439</v>
      </c>
      <c r="H29" s="146"/>
      <c r="I29" s="146">
        <f t="shared" si="3"/>
        <v>0</v>
      </c>
      <c r="J29" s="6" t="s">
        <v>75</v>
      </c>
      <c r="K29" s="6" t="s">
        <v>75</v>
      </c>
      <c r="L29" s="6" t="s">
        <v>75</v>
      </c>
      <c r="M29" s="6" t="s">
        <v>80</v>
      </c>
      <c r="P29" s="6"/>
      <c r="Q29" s="6"/>
    </row>
    <row r="30" spans="3:17" x14ac:dyDescent="0.2">
      <c r="C30" s="151">
        <v>26</v>
      </c>
      <c r="D30" s="151">
        <v>22</v>
      </c>
      <c r="E30" s="152">
        <f t="shared" si="0"/>
        <v>1.5068493150684932E-2</v>
      </c>
      <c r="F30" s="153">
        <f t="shared" si="1"/>
        <v>4.1095890410958902E-2</v>
      </c>
      <c r="G30" s="153">
        <f t="shared" si="2"/>
        <v>1.0561643835616439</v>
      </c>
      <c r="H30" s="146"/>
      <c r="I30" s="146">
        <f t="shared" si="3"/>
        <v>0</v>
      </c>
      <c r="J30" s="6">
        <v>0.01</v>
      </c>
      <c r="K30" s="73">
        <v>5952.84</v>
      </c>
      <c r="L30" s="6">
        <v>0</v>
      </c>
      <c r="M30" s="6">
        <v>1.92</v>
      </c>
      <c r="P30" s="6"/>
      <c r="Q30" s="6"/>
    </row>
    <row r="31" spans="3:17" x14ac:dyDescent="0.2">
      <c r="C31" s="151">
        <v>27</v>
      </c>
      <c r="D31" s="151">
        <v>22</v>
      </c>
      <c r="E31" s="152">
        <f t="shared" si="0"/>
        <v>1.5068493150684932E-2</v>
      </c>
      <c r="F31" s="153">
        <f t="shared" si="1"/>
        <v>4.1095890410958902E-2</v>
      </c>
      <c r="G31" s="153">
        <f t="shared" si="2"/>
        <v>1.0561643835616439</v>
      </c>
      <c r="H31" s="146"/>
      <c r="I31" s="146">
        <f t="shared" si="3"/>
        <v>0</v>
      </c>
      <c r="J31" s="73">
        <v>5952.85</v>
      </c>
      <c r="K31" s="73">
        <v>50524.92</v>
      </c>
      <c r="L31" s="6">
        <v>114.24</v>
      </c>
      <c r="M31" s="6">
        <v>6.4</v>
      </c>
      <c r="P31" s="6"/>
      <c r="Q31" s="6"/>
    </row>
    <row r="32" spans="3:17" x14ac:dyDescent="0.2">
      <c r="C32" s="151">
        <v>28</v>
      </c>
      <c r="D32" s="151">
        <v>22</v>
      </c>
      <c r="E32" s="152">
        <f t="shared" si="0"/>
        <v>1.5068493150684932E-2</v>
      </c>
      <c r="F32" s="153">
        <f t="shared" si="1"/>
        <v>4.1095890410958902E-2</v>
      </c>
      <c r="G32" s="153">
        <f t="shared" si="2"/>
        <v>1.0561643835616439</v>
      </c>
      <c r="H32" s="146"/>
      <c r="I32" s="146">
        <f t="shared" si="3"/>
        <v>0</v>
      </c>
      <c r="J32" s="73">
        <v>50524.93</v>
      </c>
      <c r="K32" s="73">
        <v>88793.04</v>
      </c>
      <c r="L32" s="73">
        <v>2966.76</v>
      </c>
      <c r="M32" s="6">
        <v>10.88</v>
      </c>
      <c r="P32" s="6"/>
      <c r="Q32" s="6"/>
    </row>
    <row r="33" spans="3:17" x14ac:dyDescent="0.2">
      <c r="C33" s="151">
        <v>29</v>
      </c>
      <c r="D33" s="151">
        <v>22</v>
      </c>
      <c r="E33" s="152">
        <f t="shared" si="0"/>
        <v>1.5068493150684932E-2</v>
      </c>
      <c r="F33" s="153">
        <f t="shared" si="1"/>
        <v>4.1095890410958902E-2</v>
      </c>
      <c r="G33" s="153">
        <f t="shared" si="2"/>
        <v>1.0561643835616439</v>
      </c>
      <c r="H33" s="146"/>
      <c r="I33" s="146">
        <f t="shared" si="3"/>
        <v>0</v>
      </c>
      <c r="J33" s="73">
        <v>88793.05</v>
      </c>
      <c r="K33" s="73">
        <v>103218</v>
      </c>
      <c r="L33" s="73">
        <v>7130.88</v>
      </c>
      <c r="M33" s="6">
        <v>16</v>
      </c>
      <c r="P33" s="6"/>
      <c r="Q33" s="6"/>
    </row>
    <row r="34" spans="3:17" x14ac:dyDescent="0.2">
      <c r="C34" s="151">
        <v>30</v>
      </c>
      <c r="D34" s="151">
        <v>24</v>
      </c>
      <c r="E34" s="152">
        <f t="shared" si="0"/>
        <v>1.643835616438356E-2</v>
      </c>
      <c r="F34" s="153">
        <f t="shared" si="1"/>
        <v>4.1095890410958902E-2</v>
      </c>
      <c r="G34" s="153">
        <f t="shared" si="2"/>
        <v>1.0575342465753423</v>
      </c>
      <c r="H34" s="146"/>
      <c r="I34" s="146">
        <f t="shared" si="3"/>
        <v>0</v>
      </c>
      <c r="J34" s="73">
        <v>103218.01</v>
      </c>
      <c r="K34" s="73">
        <v>123580.2</v>
      </c>
      <c r="L34" s="73">
        <v>9438.6</v>
      </c>
      <c r="M34" s="6">
        <v>17.920000000000002</v>
      </c>
      <c r="P34" s="6"/>
      <c r="Q34" s="6"/>
    </row>
    <row r="35" spans="3:17" x14ac:dyDescent="0.2">
      <c r="C35" s="151">
        <v>31</v>
      </c>
      <c r="D35" s="151">
        <v>24</v>
      </c>
      <c r="E35" s="152">
        <f t="shared" si="0"/>
        <v>1.643835616438356E-2</v>
      </c>
      <c r="F35" s="153">
        <f t="shared" si="1"/>
        <v>4.1095890410958902E-2</v>
      </c>
      <c r="G35" s="153">
        <f t="shared" si="2"/>
        <v>1.0575342465753423</v>
      </c>
      <c r="H35" s="146"/>
      <c r="I35" s="146">
        <f t="shared" si="3"/>
        <v>0</v>
      </c>
      <c r="J35" s="73">
        <v>123580.21</v>
      </c>
      <c r="K35" s="73">
        <v>249243.48</v>
      </c>
      <c r="L35" s="73">
        <v>13087.44</v>
      </c>
      <c r="M35" s="6">
        <v>21.36</v>
      </c>
      <c r="P35" s="6"/>
      <c r="Q35" s="6"/>
    </row>
    <row r="36" spans="3:17" x14ac:dyDescent="0.2">
      <c r="C36" s="151">
        <v>32</v>
      </c>
      <c r="D36" s="151">
        <v>24</v>
      </c>
      <c r="E36" s="152">
        <f t="shared" si="0"/>
        <v>1.643835616438356E-2</v>
      </c>
      <c r="F36" s="153">
        <f t="shared" si="1"/>
        <v>4.1095890410958902E-2</v>
      </c>
      <c r="G36" s="153">
        <f t="shared" si="2"/>
        <v>1.0575342465753423</v>
      </c>
      <c r="H36" s="146"/>
      <c r="I36" s="146">
        <f t="shared" si="3"/>
        <v>0</v>
      </c>
      <c r="J36" s="73">
        <v>249243.49</v>
      </c>
      <c r="K36" s="73">
        <v>392841.96</v>
      </c>
      <c r="L36" s="73">
        <v>39929.040000000001</v>
      </c>
      <c r="M36" s="6">
        <v>23.52</v>
      </c>
      <c r="P36" s="6"/>
      <c r="Q36" s="6"/>
    </row>
    <row r="37" spans="3:17" x14ac:dyDescent="0.2">
      <c r="C37" s="151">
        <v>33</v>
      </c>
      <c r="D37" s="151">
        <v>24</v>
      </c>
      <c r="E37" s="152">
        <f t="shared" si="0"/>
        <v>1.643835616438356E-2</v>
      </c>
      <c r="F37" s="153">
        <f t="shared" si="1"/>
        <v>4.1095890410958902E-2</v>
      </c>
      <c r="G37" s="153">
        <f t="shared" si="2"/>
        <v>1.0575342465753423</v>
      </c>
      <c r="H37" s="146"/>
      <c r="I37" s="146">
        <f t="shared" si="3"/>
        <v>0</v>
      </c>
      <c r="J37" s="73">
        <v>392841.97</v>
      </c>
      <c r="K37" s="6" t="s">
        <v>76</v>
      </c>
      <c r="L37" s="73">
        <v>73703.399999999994</v>
      </c>
      <c r="M37" s="6">
        <v>30</v>
      </c>
      <c r="P37" s="6"/>
      <c r="Q37" s="6"/>
    </row>
    <row r="38" spans="3:17" x14ac:dyDescent="0.2">
      <c r="C38" s="151">
        <v>34</v>
      </c>
      <c r="D38" s="151">
        <v>24</v>
      </c>
      <c r="E38" s="152">
        <f t="shared" si="0"/>
        <v>1.643835616438356E-2</v>
      </c>
      <c r="F38" s="153">
        <f t="shared" si="1"/>
        <v>4.1095890410958902E-2</v>
      </c>
      <c r="G38" s="153">
        <f t="shared" si="2"/>
        <v>1.0575342465753423</v>
      </c>
      <c r="H38" s="146"/>
      <c r="I38" s="146">
        <f t="shared" si="3"/>
        <v>0</v>
      </c>
      <c r="P38" s="6"/>
      <c r="Q38" s="6"/>
    </row>
    <row r="39" spans="3:17" x14ac:dyDescent="0.2">
      <c r="C39" s="151">
        <v>35</v>
      </c>
      <c r="D39" s="151">
        <v>26</v>
      </c>
      <c r="E39" s="152">
        <f t="shared" si="0"/>
        <v>1.7808219178082191E-2</v>
      </c>
      <c r="F39" s="153">
        <f t="shared" si="1"/>
        <v>4.1095890410958902E-2</v>
      </c>
      <c r="G39" s="153">
        <f t="shared" si="2"/>
        <v>1.058904109589041</v>
      </c>
      <c r="H39" s="146"/>
      <c r="I39" s="146">
        <f t="shared" si="3"/>
        <v>0</v>
      </c>
      <c r="P39" s="6"/>
      <c r="Q39" s="6"/>
    </row>
    <row r="40" spans="3:17" x14ac:dyDescent="0.2">
      <c r="C40" s="151">
        <v>36</v>
      </c>
      <c r="D40" s="151">
        <v>26</v>
      </c>
      <c r="E40" s="152">
        <f t="shared" si="0"/>
        <v>1.7808219178082191E-2</v>
      </c>
      <c r="F40" s="153">
        <f t="shared" si="1"/>
        <v>4.1095890410958902E-2</v>
      </c>
      <c r="G40" s="153">
        <f t="shared" si="2"/>
        <v>1.058904109589041</v>
      </c>
      <c r="H40" s="146"/>
      <c r="I40" s="146">
        <f t="shared" si="3"/>
        <v>0</v>
      </c>
      <c r="P40" s="6"/>
      <c r="Q40" s="6"/>
    </row>
    <row r="41" spans="3:17" x14ac:dyDescent="0.2">
      <c r="C41" s="151">
        <v>37</v>
      </c>
      <c r="D41" s="151">
        <v>26</v>
      </c>
      <c r="E41" s="152">
        <f t="shared" si="0"/>
        <v>1.7808219178082191E-2</v>
      </c>
      <c r="F41" s="153">
        <f t="shared" si="1"/>
        <v>4.1095890410958902E-2</v>
      </c>
      <c r="G41" s="153">
        <f t="shared" si="2"/>
        <v>1.058904109589041</v>
      </c>
      <c r="H41" s="146"/>
      <c r="I41" s="146">
        <f t="shared" si="3"/>
        <v>0</v>
      </c>
      <c r="P41" s="6"/>
      <c r="Q41" s="6"/>
    </row>
    <row r="42" spans="3:17" x14ac:dyDescent="0.2">
      <c r="C42" s="151">
        <v>38</v>
      </c>
      <c r="D42" s="151">
        <v>26</v>
      </c>
      <c r="E42" s="152">
        <f t="shared" si="0"/>
        <v>1.7808219178082191E-2</v>
      </c>
      <c r="F42" s="153">
        <f t="shared" si="1"/>
        <v>4.1095890410958902E-2</v>
      </c>
      <c r="G42" s="153">
        <f t="shared" si="2"/>
        <v>1.058904109589041</v>
      </c>
      <c r="H42" s="146"/>
      <c r="I42" s="146">
        <f t="shared" si="3"/>
        <v>0</v>
      </c>
      <c r="P42" s="6"/>
      <c r="Q42" s="6"/>
    </row>
    <row r="43" spans="3:17" x14ac:dyDescent="0.2">
      <c r="C43" s="151">
        <v>39</v>
      </c>
      <c r="D43" s="151">
        <v>26</v>
      </c>
      <c r="E43" s="152">
        <f t="shared" si="0"/>
        <v>1.7808219178082191E-2</v>
      </c>
      <c r="F43" s="153">
        <f t="shared" si="1"/>
        <v>4.1095890410958902E-2</v>
      </c>
      <c r="G43" s="153">
        <f t="shared" si="2"/>
        <v>1.058904109589041</v>
      </c>
      <c r="H43" s="146"/>
      <c r="I43" s="146">
        <f t="shared" si="3"/>
        <v>0</v>
      </c>
      <c r="P43" s="6"/>
      <c r="Q43" s="6"/>
    </row>
    <row r="44" spans="3:17" x14ac:dyDescent="0.2">
      <c r="C44" s="151">
        <v>40</v>
      </c>
      <c r="D44" s="151">
        <v>28</v>
      </c>
      <c r="E44" s="152">
        <f t="shared" si="0"/>
        <v>1.9178082191780823E-2</v>
      </c>
      <c r="F44" s="153">
        <f t="shared" si="1"/>
        <v>4.1095890410958902E-2</v>
      </c>
      <c r="G44" s="153">
        <f t="shared" si="2"/>
        <v>1.0602739726027397</v>
      </c>
      <c r="H44" s="146"/>
      <c r="I44" s="146">
        <f t="shared" si="3"/>
        <v>0</v>
      </c>
      <c r="P44" s="6"/>
      <c r="Q44" s="6"/>
    </row>
  </sheetData>
  <mergeCells count="4">
    <mergeCell ref="C1:G1"/>
    <mergeCell ref="C3:C4"/>
    <mergeCell ref="G3:G4"/>
    <mergeCell ref="D3:D4"/>
  </mergeCells>
  <phoneticPr fontId="5" type="noConversion"/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DW193"/>
  <sheetViews>
    <sheetView tabSelected="1" zoomScale="80" zoomScaleNormal="80" workbookViewId="0">
      <pane xSplit="7" ySplit="1" topLeftCell="AQ168" activePane="bottomRight" state="frozen"/>
      <selection pane="topRight" activeCell="C1" sqref="C1"/>
      <selection pane="bottomLeft" activeCell="A3" sqref="A3"/>
      <selection pane="bottomRight" activeCell="AR190" sqref="AR190"/>
    </sheetView>
  </sheetViews>
  <sheetFormatPr baseColWidth="10" defaultRowHeight="12.75" x14ac:dyDescent="0.2"/>
  <cols>
    <col min="1" max="1" width="12.28515625" style="162" bestFit="1" customWidth="1"/>
    <col min="2" max="2" width="12.7109375" style="15" customWidth="1"/>
    <col min="3" max="4" width="9.140625" style="176" customWidth="1"/>
    <col min="5" max="5" width="9.140625" style="12" customWidth="1"/>
    <col min="6" max="6" width="12.85546875" style="176" bestFit="1" customWidth="1"/>
    <col min="7" max="7" width="36.28515625" style="2" customWidth="1"/>
    <col min="8" max="8" width="10.7109375" style="176" customWidth="1"/>
    <col min="9" max="9" width="11.7109375" style="15" customWidth="1"/>
    <col min="10" max="10" width="11.7109375" style="35" customWidth="1"/>
    <col min="11" max="11" width="18" style="36" bestFit="1" customWidth="1"/>
    <col min="12" max="12" width="15.5703125" style="126" customWidth="1"/>
    <col min="13" max="13" width="55" style="55" customWidth="1"/>
    <col min="14" max="14" width="10.85546875" style="35" customWidth="1"/>
    <col min="15" max="15" width="10.7109375" style="59" customWidth="1"/>
    <col min="16" max="16" width="10.7109375" style="49" customWidth="1"/>
    <col min="17" max="17" width="10.28515625" style="161" bestFit="1" customWidth="1"/>
    <col min="18" max="18" width="19" style="1" customWidth="1"/>
    <col min="19" max="19" width="22.28515625" style="1" customWidth="1"/>
    <col min="20" max="20" width="26.7109375" style="6" customWidth="1"/>
    <col min="21" max="21" width="46.7109375" style="6" customWidth="1"/>
    <col min="22" max="22" width="29.140625" style="1" customWidth="1"/>
    <col min="23" max="23" width="13" style="1" customWidth="1"/>
    <col min="24" max="24" width="12" style="138" customWidth="1"/>
    <col min="25" max="25" width="19.85546875" style="180" customWidth="1"/>
    <col min="26" max="26" width="14.5703125" style="2" customWidth="1"/>
    <col min="27" max="27" width="21" style="2" customWidth="1"/>
    <col min="28" max="28" width="9.140625" style="2" customWidth="1"/>
    <col min="29" max="29" width="3.5703125" style="2" customWidth="1"/>
    <col min="30" max="30" width="17.28515625" style="15" customWidth="1"/>
    <col min="31" max="31" width="10.140625" style="53" customWidth="1"/>
    <col min="32" max="33" width="9.140625" style="162" customWidth="1"/>
    <col min="34" max="34" width="10.140625" style="110" customWidth="1"/>
    <col min="35" max="35" width="9.140625" style="62" customWidth="1"/>
    <col min="36" max="36" width="33.7109375" style="2" bestFit="1" customWidth="1"/>
    <col min="37" max="37" width="34.28515625" style="2" bestFit="1" customWidth="1"/>
    <col min="38" max="38" width="29.5703125" style="2" bestFit="1" customWidth="1"/>
    <col min="39" max="41" width="9.42578125" style="2" customWidth="1"/>
    <col min="42" max="42" width="12.42578125" style="180" bestFit="1" customWidth="1"/>
    <col min="43" max="43" width="18" style="162" bestFit="1" customWidth="1"/>
    <col min="44" max="44" width="18" style="176" bestFit="1" customWidth="1"/>
    <col min="45" max="45" width="8.140625" style="1" customWidth="1"/>
    <col min="46" max="46" width="17.28515625" style="71" customWidth="1"/>
    <col min="47" max="47" width="11" style="2" customWidth="1"/>
    <col min="48" max="48" width="33.140625" style="2" bestFit="1" customWidth="1"/>
    <col min="49" max="49" width="19" style="1" bestFit="1" customWidth="1"/>
    <col min="50" max="50" width="13.5703125" style="10" customWidth="1"/>
    <col min="51" max="51" width="10.85546875" style="107" customWidth="1"/>
    <col min="52" max="52" width="8.140625" style="12" hidden="1" customWidth="1"/>
    <col min="53" max="54" width="7.5703125" style="12" hidden="1" customWidth="1"/>
    <col min="55" max="55" width="12.140625" style="12" hidden="1" customWidth="1"/>
    <col min="56" max="56" width="9.140625" style="180" customWidth="1"/>
    <col min="57" max="57" width="11.85546875" style="107" customWidth="1"/>
    <col min="58" max="61" width="7.140625" style="12" hidden="1" customWidth="1"/>
    <col min="62" max="62" width="11.85546875" style="107" customWidth="1"/>
    <col min="63" max="63" width="12.42578125" style="69" customWidth="1"/>
    <col min="64" max="64" width="23.140625" style="4" customWidth="1"/>
    <col min="65" max="65" width="4" style="66" customWidth="1"/>
    <col min="66" max="70" width="10.5703125" style="2" customWidth="1"/>
    <col min="71" max="71" width="10.85546875" style="2" bestFit="1" customWidth="1"/>
    <col min="72" max="16384" width="11.42578125" style="2"/>
  </cols>
  <sheetData>
    <row r="1" spans="1:71" ht="76.5" x14ac:dyDescent="0.2">
      <c r="A1" s="168" t="s">
        <v>82</v>
      </c>
      <c r="B1" s="13" t="s">
        <v>22</v>
      </c>
      <c r="C1" s="174" t="s">
        <v>85</v>
      </c>
      <c r="D1" s="174" t="s">
        <v>87</v>
      </c>
      <c r="E1" s="88" t="s">
        <v>86</v>
      </c>
      <c r="F1" s="174" t="s">
        <v>88</v>
      </c>
      <c r="G1" s="3" t="s">
        <v>0</v>
      </c>
      <c r="H1" s="177" t="s">
        <v>25</v>
      </c>
      <c r="I1" s="41">
        <f ca="1">+TODAY()</f>
        <v>42566</v>
      </c>
      <c r="J1" s="43" t="s">
        <v>30</v>
      </c>
      <c r="K1" s="44" t="s">
        <v>31</v>
      </c>
      <c r="L1" s="124" t="s">
        <v>206</v>
      </c>
      <c r="M1" s="54" t="s">
        <v>46</v>
      </c>
      <c r="N1" s="37" t="s">
        <v>26</v>
      </c>
      <c r="O1" s="89" t="s">
        <v>21</v>
      </c>
      <c r="P1" s="90" t="s">
        <v>60</v>
      </c>
      <c r="Q1" s="165" t="s">
        <v>3</v>
      </c>
      <c r="R1" s="91" t="s">
        <v>89</v>
      </c>
      <c r="S1" s="91" t="s">
        <v>59</v>
      </c>
      <c r="T1" s="72" t="s">
        <v>2</v>
      </c>
      <c r="U1" s="100" t="s">
        <v>1</v>
      </c>
      <c r="V1" s="91" t="s">
        <v>28</v>
      </c>
      <c r="W1" s="91" t="s">
        <v>28</v>
      </c>
      <c r="X1" s="3" t="s">
        <v>249</v>
      </c>
      <c r="Y1" s="177" t="s">
        <v>13</v>
      </c>
      <c r="Z1" s="91" t="s">
        <v>14</v>
      </c>
      <c r="AA1" s="3" t="s">
        <v>15</v>
      </c>
      <c r="AB1" s="3" t="s">
        <v>12</v>
      </c>
      <c r="AC1" s="60" t="s">
        <v>70</v>
      </c>
      <c r="AD1" s="13" t="s">
        <v>11</v>
      </c>
      <c r="AE1" s="64" t="s">
        <v>45</v>
      </c>
      <c r="AF1" s="164" t="s">
        <v>85</v>
      </c>
      <c r="AG1" s="164" t="s">
        <v>87</v>
      </c>
      <c r="AH1" s="108" t="s">
        <v>45</v>
      </c>
      <c r="AI1" s="56" t="s">
        <v>29</v>
      </c>
      <c r="AJ1" s="3" t="s">
        <v>19</v>
      </c>
      <c r="AK1" s="3" t="s">
        <v>20</v>
      </c>
      <c r="AL1" s="3" t="s">
        <v>4</v>
      </c>
      <c r="AM1" s="3" t="s">
        <v>5</v>
      </c>
      <c r="AN1" s="3" t="s">
        <v>6</v>
      </c>
      <c r="AO1" s="3" t="s">
        <v>7</v>
      </c>
      <c r="AP1" s="177" t="s">
        <v>8</v>
      </c>
      <c r="AQ1" s="158" t="s">
        <v>9</v>
      </c>
      <c r="AR1" s="177" t="s">
        <v>10</v>
      </c>
      <c r="AS1" s="3" t="s">
        <v>23</v>
      </c>
      <c r="AT1" s="97" t="s">
        <v>16</v>
      </c>
      <c r="AU1" s="3" t="s">
        <v>17</v>
      </c>
      <c r="AV1" s="3" t="s">
        <v>18</v>
      </c>
      <c r="AW1" s="91" t="s">
        <v>260</v>
      </c>
      <c r="AX1" s="9" t="s">
        <v>81</v>
      </c>
      <c r="AY1" s="154" t="s">
        <v>83</v>
      </c>
      <c r="AZ1" s="63" t="s">
        <v>62</v>
      </c>
      <c r="BA1" s="63" t="s">
        <v>63</v>
      </c>
      <c r="BB1" s="63" t="s">
        <v>64</v>
      </c>
      <c r="BC1" s="63" t="s">
        <v>65</v>
      </c>
      <c r="BD1" s="177" t="s">
        <v>61</v>
      </c>
      <c r="BE1" s="154" t="s">
        <v>84</v>
      </c>
      <c r="BF1" s="63" t="s">
        <v>66</v>
      </c>
      <c r="BG1" s="63" t="s">
        <v>67</v>
      </c>
      <c r="BH1" s="63" t="s">
        <v>68</v>
      </c>
      <c r="BI1" s="63" t="s">
        <v>69</v>
      </c>
      <c r="BJ1" s="155" t="s">
        <v>71</v>
      </c>
      <c r="BK1" s="70" t="s">
        <v>876</v>
      </c>
      <c r="BL1" s="5" t="s">
        <v>24</v>
      </c>
      <c r="BM1" s="65"/>
      <c r="BN1" s="141" t="s">
        <v>877</v>
      </c>
      <c r="BO1" s="141" t="s">
        <v>0</v>
      </c>
      <c r="BP1" s="141" t="s">
        <v>0</v>
      </c>
      <c r="BQ1" s="141" t="s">
        <v>0</v>
      </c>
      <c r="BR1" s="141" t="s">
        <v>0</v>
      </c>
      <c r="BS1" s="107"/>
    </row>
    <row r="2" spans="1:71" s="6" customFormat="1" x14ac:dyDescent="0.2">
      <c r="A2" s="169">
        <v>5</v>
      </c>
      <c r="B2" s="139">
        <v>41148</v>
      </c>
      <c r="C2" s="175">
        <f t="shared" ref="C2:C22" si="0">+DAY(B2)</f>
        <v>27</v>
      </c>
      <c r="D2" s="175">
        <f t="shared" ref="D2:D22" si="1">+MONTH(B2)</f>
        <v>8</v>
      </c>
      <c r="E2" s="16" t="str">
        <f>+LOOKUP(D2,'Factor Integración'!$L$4:$L$15,'Factor Integración'!$M$4:$M$15)</f>
        <v>Agosto</v>
      </c>
      <c r="F2" s="175">
        <f t="shared" ref="F2:F22" si="2">+YEAR(B2)</f>
        <v>2012</v>
      </c>
      <c r="G2" s="118" t="s">
        <v>91</v>
      </c>
      <c r="H2" s="182">
        <f>+IF(Q2&gt;0,(LOOKUP(Q2,Tabulador!C$34:C$93,Tabulador!D$34:D$93)/7),0)</f>
        <v>85.714285714285708</v>
      </c>
      <c r="I2" s="40">
        <f t="shared" ref="I2:I65" ca="1" si="3">IF(B2&lt;&gt;"",IF(DATE(YEAR(I$1),MONTH(B2),DAY(B2))&lt;TODAY(),DATE(YEAR(I$1),MONTH(B2),DAY(B2)),DATE(YEAR(I$1)-1,MONTH(B2),DAY(B2))),"")</f>
        <v>42243</v>
      </c>
      <c r="J2" s="42">
        <f t="shared" ref="J2:J65" ca="1" si="4">IF(I2&lt;=(TODAY()),DAYS360(B2,I2)/360,0)</f>
        <v>3</v>
      </c>
      <c r="K2" s="38">
        <f ca="1">+IF(J2&gt;0,(LOOKUP(J2,'Factor Integración'!C$5:C$44,'Factor Integración'!G$5:G$44)),'Factor Integración'!$G$5)</f>
        <v>1.047945205479452</v>
      </c>
      <c r="L2" s="125">
        <f>+IF(Q2&lt;&gt;0,LOOKUP(Q2,Tabulador!C$33:C$93,Tabulador!D$33:D$93),0)</f>
        <v>600</v>
      </c>
      <c r="M2" s="127" t="str">
        <f>+IF(L2&gt;0,(LOOKUP(L2,Tabulador!E$33:E$93,Tabulador!F$33:F$93)),0)</f>
        <v>(SEISCIENTOS  PESOS  00/100 M.N.)</v>
      </c>
      <c r="N2" s="17">
        <f ca="1">+H2*K2</f>
        <v>89.823874755381595</v>
      </c>
      <c r="O2" s="92" t="s">
        <v>27</v>
      </c>
      <c r="P2" s="50" t="s">
        <v>207</v>
      </c>
      <c r="Q2" s="166">
        <v>4.0999999999999996</v>
      </c>
      <c r="R2" s="93" t="s">
        <v>885</v>
      </c>
      <c r="S2" s="93" t="s">
        <v>886</v>
      </c>
      <c r="T2" s="128" t="s">
        <v>209</v>
      </c>
      <c r="U2" s="128" t="s">
        <v>222</v>
      </c>
      <c r="V2" s="106" t="s">
        <v>247</v>
      </c>
      <c r="W2" s="105" t="s">
        <v>248</v>
      </c>
      <c r="X2" s="137" t="s">
        <v>298</v>
      </c>
      <c r="Y2" s="178">
        <v>52916905715</v>
      </c>
      <c r="Z2" s="101" t="s">
        <v>445</v>
      </c>
      <c r="AA2" s="101" t="s">
        <v>444</v>
      </c>
      <c r="AB2" s="6" t="s">
        <v>253</v>
      </c>
      <c r="AD2" s="14">
        <v>25251</v>
      </c>
      <c r="AE2" s="52"/>
      <c r="AF2" s="160">
        <f>+DAY(AD2)</f>
        <v>17</v>
      </c>
      <c r="AG2" s="160">
        <f>+MONTH(AD2)</f>
        <v>2</v>
      </c>
      <c r="AH2" s="109">
        <v>46</v>
      </c>
      <c r="AI2" s="61"/>
      <c r="AL2" s="6" t="s">
        <v>446</v>
      </c>
      <c r="AM2" s="6" t="s">
        <v>447</v>
      </c>
      <c r="AN2" s="6" t="s">
        <v>257</v>
      </c>
      <c r="AO2" s="6" t="s">
        <v>253</v>
      </c>
      <c r="AP2" s="178">
        <v>28150</v>
      </c>
      <c r="AQ2" s="160"/>
      <c r="AR2" s="175"/>
      <c r="AS2" s="8"/>
      <c r="AT2" s="98"/>
      <c r="AW2" s="96"/>
      <c r="AX2" s="1" t="s">
        <v>261</v>
      </c>
      <c r="AY2" s="51"/>
      <c r="AZ2" s="16"/>
      <c r="BA2" s="16"/>
      <c r="BB2" s="16"/>
      <c r="BC2" s="16"/>
      <c r="BD2" s="178"/>
      <c r="BE2" s="51"/>
      <c r="BF2" s="16"/>
      <c r="BG2" s="16"/>
      <c r="BH2" s="16"/>
      <c r="BI2" s="16"/>
      <c r="BJ2" s="156"/>
      <c r="BK2" s="67"/>
      <c r="BL2" s="7"/>
      <c r="BM2" s="66" t="s">
        <v>72</v>
      </c>
      <c r="BN2" s="14"/>
      <c r="BO2" s="51"/>
      <c r="BP2" s="51"/>
      <c r="BQ2" s="51"/>
      <c r="BR2" s="51"/>
    </row>
    <row r="3" spans="1:71" s="6" customFormat="1" x14ac:dyDescent="0.2">
      <c r="A3" s="170">
        <v>6</v>
      </c>
      <c r="B3" s="139">
        <v>41966</v>
      </c>
      <c r="C3" s="175">
        <f t="shared" si="0"/>
        <v>23</v>
      </c>
      <c r="D3" s="175">
        <f t="shared" si="1"/>
        <v>11</v>
      </c>
      <c r="E3" s="16" t="str">
        <f>+LOOKUP(D3,'Factor Integración'!$L$4:$L$15,'Factor Integración'!$M$4:$M$15)</f>
        <v>Noviembre</v>
      </c>
      <c r="F3" s="175">
        <f t="shared" si="2"/>
        <v>2014</v>
      </c>
      <c r="G3" s="113" t="s">
        <v>92</v>
      </c>
      <c r="H3" s="182">
        <f>+IF(Q3&gt;0,(LOOKUP(Q3,Tabulador!C$34:C$93,Tabulador!D$34:D$93)/7),0)</f>
        <v>214.21428571428572</v>
      </c>
      <c r="I3" s="40">
        <f t="shared" ca="1" si="3"/>
        <v>42331</v>
      </c>
      <c r="J3" s="42">
        <f t="shared" ca="1" si="4"/>
        <v>1</v>
      </c>
      <c r="K3" s="38">
        <f ca="1">+IF(J3&gt;0,(LOOKUP(J3,'Factor Integración'!C$5:C$44,'Factor Integración'!G$5:G$44)),'Factor Integración'!$G$5)</f>
        <v>1.0452054794520547</v>
      </c>
      <c r="L3" s="125">
        <f>+IF(Q3&lt;&gt;0,LOOKUP(Q3,Tabulador!C$33:C$93,Tabulador!D$33:D$93),0)</f>
        <v>1499.5</v>
      </c>
      <c r="M3" s="127" t="str">
        <f>+IF(L3&gt;0,(LOOKUP(L3,Tabulador!E$33:E$93,Tabulador!F$33:F$93)),0)</f>
        <v>(UN MIL CUATROCIENTOS CINCUENTA  PESOS  00/100 M.N.)</v>
      </c>
      <c r="N3" s="17">
        <f t="shared" ref="N3:N66" ca="1" si="5">+H3*K3</f>
        <v>223.89794520547943</v>
      </c>
      <c r="O3" s="92" t="s">
        <v>27</v>
      </c>
      <c r="P3" s="50" t="s">
        <v>207</v>
      </c>
      <c r="Q3" s="166">
        <v>7.3</v>
      </c>
      <c r="R3" s="143" t="s">
        <v>149</v>
      </c>
      <c r="S3" s="93" t="s">
        <v>879</v>
      </c>
      <c r="T3" s="129" t="s">
        <v>210</v>
      </c>
      <c r="U3" s="129" t="s">
        <v>224</v>
      </c>
      <c r="V3" s="106" t="s">
        <v>247</v>
      </c>
      <c r="W3" s="105" t="s">
        <v>248</v>
      </c>
      <c r="X3" s="137" t="s">
        <v>250</v>
      </c>
      <c r="Y3" s="178">
        <v>52028603752</v>
      </c>
      <c r="Z3" s="103" t="s">
        <v>577</v>
      </c>
      <c r="AA3" s="6" t="s">
        <v>578</v>
      </c>
      <c r="AB3" s="6" t="s">
        <v>301</v>
      </c>
      <c r="AD3" s="14">
        <v>31623</v>
      </c>
      <c r="AE3" s="52"/>
      <c r="AF3" s="160">
        <f t="shared" ref="AF3:AF66" si="6">+DAY(AD3)</f>
        <v>30</v>
      </c>
      <c r="AG3" s="160">
        <f t="shared" ref="AG3:AG66" si="7">+MONTH(AD3)</f>
        <v>7</v>
      </c>
      <c r="AH3" s="109">
        <v>29</v>
      </c>
      <c r="AI3" s="61"/>
      <c r="AJ3" s="6" t="s">
        <v>579</v>
      </c>
      <c r="AK3" s="6" t="s">
        <v>580</v>
      </c>
      <c r="AL3" s="6" t="s">
        <v>581</v>
      </c>
      <c r="AM3" s="6" t="s">
        <v>582</v>
      </c>
      <c r="AN3" s="6" t="s">
        <v>257</v>
      </c>
      <c r="AO3" s="6" t="s">
        <v>253</v>
      </c>
      <c r="AP3" s="178">
        <v>28160</v>
      </c>
      <c r="AQ3" s="160"/>
      <c r="AR3" s="175">
        <v>3131085474</v>
      </c>
      <c r="AS3" s="8"/>
      <c r="AT3" s="98"/>
      <c r="AU3" s="6" t="s">
        <v>356</v>
      </c>
      <c r="AV3" s="6" t="s">
        <v>583</v>
      </c>
      <c r="AW3" s="96"/>
      <c r="AX3" s="1" t="s">
        <v>261</v>
      </c>
      <c r="AY3" s="51"/>
      <c r="AZ3" s="16"/>
      <c r="BA3" s="16"/>
      <c r="BB3" s="16"/>
      <c r="BC3" s="16"/>
      <c r="BD3" s="178"/>
      <c r="BE3" s="51"/>
      <c r="BF3" s="16"/>
      <c r="BG3" s="16"/>
      <c r="BH3" s="16"/>
      <c r="BI3" s="16"/>
      <c r="BJ3" s="156"/>
      <c r="BK3" s="67"/>
      <c r="BM3" s="66" t="s">
        <v>72</v>
      </c>
    </row>
    <row r="4" spans="1:71" s="6" customFormat="1" x14ac:dyDescent="0.2">
      <c r="A4" s="170">
        <v>12</v>
      </c>
      <c r="B4" s="139">
        <v>38487</v>
      </c>
      <c r="C4" s="175">
        <f t="shared" si="0"/>
        <v>15</v>
      </c>
      <c r="D4" s="175">
        <f t="shared" si="1"/>
        <v>5</v>
      </c>
      <c r="E4" s="16" t="str">
        <f>+LOOKUP(D4,'Factor Integración'!$L$4:$L$15,'Factor Integración'!$M$4:$M$15)</f>
        <v>Mayo</v>
      </c>
      <c r="F4" s="175">
        <f t="shared" si="2"/>
        <v>2005</v>
      </c>
      <c r="G4" s="112" t="s">
        <v>93</v>
      </c>
      <c r="H4" s="182">
        <f>+IF(Q4&gt;0,(LOOKUP(Q4,Tabulador!C$34:C$93,Tabulador!D$34:D$93)/7),0)</f>
        <v>207.14285714285714</v>
      </c>
      <c r="I4" s="40">
        <f t="shared" ca="1" si="3"/>
        <v>42505</v>
      </c>
      <c r="J4" s="42">
        <f t="shared" ca="1" si="4"/>
        <v>11</v>
      </c>
      <c r="K4" s="38">
        <f ca="1">+IF(J4&gt;0,(LOOKUP(J4,'Factor Integración'!C$5:C$44,'Factor Integración'!G$5:G$44)),'Factor Integración'!$G$5)</f>
        <v>1.0520547945205478</v>
      </c>
      <c r="L4" s="125">
        <f>+IF(Q4&lt;&gt;0,LOOKUP(Q4,Tabulador!C$33:C$93,Tabulador!D$33:D$93),0)</f>
        <v>1450</v>
      </c>
      <c r="M4" s="127" t="str">
        <f>+IF(L4&gt;0,(LOOKUP(L4,Tabulador!E$33:E$93,Tabulador!F$33:F$93)),0)</f>
        <v>(UN MIL CUATROCIENTOS CINCUENTA  PESOS  00/100 M.N.)</v>
      </c>
      <c r="N4" s="17">
        <f t="shared" ca="1" si="5"/>
        <v>217.92563600782776</v>
      </c>
      <c r="O4" s="92" t="s">
        <v>27</v>
      </c>
      <c r="P4" s="50" t="s">
        <v>207</v>
      </c>
      <c r="Q4" s="166">
        <v>7.2</v>
      </c>
      <c r="R4" s="143" t="s">
        <v>149</v>
      </c>
      <c r="S4" s="93" t="s">
        <v>879</v>
      </c>
      <c r="T4" s="142" t="s">
        <v>211</v>
      </c>
      <c r="U4" s="128" t="s">
        <v>225</v>
      </c>
      <c r="V4" s="106" t="s">
        <v>247</v>
      </c>
      <c r="W4" s="105" t="s">
        <v>248</v>
      </c>
      <c r="X4" s="137" t="s">
        <v>298</v>
      </c>
      <c r="Y4" s="179">
        <v>52937611482</v>
      </c>
      <c r="Z4" s="103" t="s">
        <v>377</v>
      </c>
      <c r="AA4" s="6" t="s">
        <v>378</v>
      </c>
      <c r="AD4" s="14">
        <v>28030</v>
      </c>
      <c r="AE4" s="52"/>
      <c r="AF4" s="160">
        <f t="shared" si="6"/>
        <v>27</v>
      </c>
      <c r="AG4" s="160">
        <f t="shared" si="7"/>
        <v>9</v>
      </c>
      <c r="AH4" s="109">
        <v>39</v>
      </c>
      <c r="AI4" s="61"/>
      <c r="AJ4" s="6" t="s">
        <v>379</v>
      </c>
      <c r="AK4" s="6" t="s">
        <v>380</v>
      </c>
      <c r="AL4" s="6" t="s">
        <v>924</v>
      </c>
      <c r="AM4" s="6" t="s">
        <v>443</v>
      </c>
      <c r="AN4" s="6" t="s">
        <v>257</v>
      </c>
      <c r="AO4" s="6" t="s">
        <v>253</v>
      </c>
      <c r="AP4" s="178"/>
      <c r="AQ4" s="160"/>
      <c r="AR4" s="175">
        <v>3131126153</v>
      </c>
      <c r="AS4" s="8"/>
      <c r="AT4" s="98"/>
      <c r="AU4" s="6" t="s">
        <v>258</v>
      </c>
      <c r="AV4" s="6" t="s">
        <v>382</v>
      </c>
      <c r="AW4" s="96"/>
      <c r="AX4" s="1" t="s">
        <v>261</v>
      </c>
      <c r="AY4" s="51"/>
      <c r="AZ4" s="16"/>
      <c r="BA4" s="16"/>
      <c r="BB4" s="16"/>
      <c r="BC4" s="16"/>
      <c r="BD4" s="178"/>
      <c r="BE4" s="51"/>
      <c r="BF4" s="16"/>
      <c r="BG4" s="16"/>
      <c r="BH4" s="16"/>
      <c r="BI4" s="16"/>
      <c r="BJ4" s="156"/>
      <c r="BK4" s="67"/>
      <c r="BL4" s="7"/>
      <c r="BM4" s="66" t="s">
        <v>72</v>
      </c>
    </row>
    <row r="5" spans="1:71" s="6" customFormat="1" x14ac:dyDescent="0.2">
      <c r="A5" s="170">
        <v>13</v>
      </c>
      <c r="B5" s="139">
        <v>38991</v>
      </c>
      <c r="C5" s="175">
        <f t="shared" si="0"/>
        <v>1</v>
      </c>
      <c r="D5" s="175">
        <f t="shared" si="1"/>
        <v>10</v>
      </c>
      <c r="E5" s="16" t="str">
        <f>+LOOKUP(D5,'Factor Integración'!$L$4:$L$15,'Factor Integración'!$M$4:$M$15)</f>
        <v>Octubre</v>
      </c>
      <c r="F5" s="175">
        <f t="shared" si="2"/>
        <v>2006</v>
      </c>
      <c r="G5" s="113" t="s">
        <v>94</v>
      </c>
      <c r="H5" s="182">
        <f>+IF(Q5&gt;0,(LOOKUP(Q5,Tabulador!C$34:C$93,Tabulador!D$34:D$93)/7),0)</f>
        <v>214.21428571428572</v>
      </c>
      <c r="I5" s="40">
        <f t="shared" ca="1" si="3"/>
        <v>42278</v>
      </c>
      <c r="J5" s="42">
        <f t="shared" ca="1" si="4"/>
        <v>9</v>
      </c>
      <c r="K5" s="38">
        <f ca="1">+IF(J5&gt;0,(LOOKUP(J5,'Factor Integración'!C$5:C$44,'Factor Integración'!G$5:G$44)),'Factor Integración'!$G$5)</f>
        <v>1.0506849315068492</v>
      </c>
      <c r="L5" s="125">
        <f>+IF(Q5&lt;&gt;0,LOOKUP(Q5,Tabulador!C$33:C$93,Tabulador!D$33:D$93),0)</f>
        <v>1499.5</v>
      </c>
      <c r="M5" s="127" t="str">
        <f>+IF(L5&gt;0,(LOOKUP(L5,Tabulador!E$33:E$93,Tabulador!F$33:F$93)),0)</f>
        <v>(UN MIL CUATROCIENTOS CINCUENTA  PESOS  00/100 M.N.)</v>
      </c>
      <c r="N5" s="17">
        <f t="shared" ca="1" si="5"/>
        <v>225.07172211350291</v>
      </c>
      <c r="O5" s="92" t="s">
        <v>27</v>
      </c>
      <c r="P5" s="50" t="s">
        <v>207</v>
      </c>
      <c r="Q5" s="166">
        <v>7.3</v>
      </c>
      <c r="R5" s="143" t="s">
        <v>149</v>
      </c>
      <c r="S5" s="93" t="s">
        <v>879</v>
      </c>
      <c r="T5" s="142" t="s">
        <v>210</v>
      </c>
      <c r="U5" s="129" t="s">
        <v>226</v>
      </c>
      <c r="V5" s="106" t="s">
        <v>247</v>
      </c>
      <c r="W5" s="105" t="s">
        <v>248</v>
      </c>
      <c r="X5" s="137" t="s">
        <v>298</v>
      </c>
      <c r="Y5" s="178">
        <v>5290710463</v>
      </c>
      <c r="Z5" s="103" t="s">
        <v>534</v>
      </c>
      <c r="AA5" s="6" t="s">
        <v>535</v>
      </c>
      <c r="AB5" s="6" t="s">
        <v>253</v>
      </c>
      <c r="AD5" s="14">
        <v>26528</v>
      </c>
      <c r="AE5" s="52"/>
      <c r="AF5" s="160">
        <f t="shared" si="6"/>
        <v>17</v>
      </c>
      <c r="AG5" s="160">
        <f t="shared" si="7"/>
        <v>8</v>
      </c>
      <c r="AH5" s="109">
        <v>43</v>
      </c>
      <c r="AI5" s="61"/>
      <c r="AJ5" s="6" t="s">
        <v>536</v>
      </c>
      <c r="AK5" s="6" t="s">
        <v>537</v>
      </c>
      <c r="AL5" s="6" t="s">
        <v>539</v>
      </c>
      <c r="AM5" s="6" t="s">
        <v>540</v>
      </c>
      <c r="AN5" s="6" t="s">
        <v>257</v>
      </c>
      <c r="AO5" s="6" t="s">
        <v>253</v>
      </c>
      <c r="AP5" s="178"/>
      <c r="AQ5" s="160"/>
      <c r="AR5" s="175"/>
      <c r="AS5" s="8"/>
      <c r="AT5" s="98"/>
      <c r="AW5" s="96" t="s">
        <v>538</v>
      </c>
      <c r="AX5" s="1" t="s">
        <v>261</v>
      </c>
      <c r="AY5" s="51"/>
      <c r="AZ5" s="16"/>
      <c r="BA5" s="16"/>
      <c r="BB5" s="16"/>
      <c r="BC5" s="16"/>
      <c r="BD5" s="178"/>
      <c r="BE5" s="51"/>
      <c r="BF5" s="16"/>
      <c r="BG5" s="16"/>
      <c r="BH5" s="16"/>
      <c r="BI5" s="16"/>
      <c r="BJ5" s="156"/>
      <c r="BK5" s="67"/>
      <c r="BL5" s="7"/>
      <c r="BM5" s="66" t="s">
        <v>72</v>
      </c>
    </row>
    <row r="6" spans="1:71" s="6" customFormat="1" x14ac:dyDescent="0.2">
      <c r="A6" s="169">
        <v>14</v>
      </c>
      <c r="B6" s="139">
        <v>38680</v>
      </c>
      <c r="C6" s="175">
        <f t="shared" si="0"/>
        <v>24</v>
      </c>
      <c r="D6" s="175">
        <f t="shared" si="1"/>
        <v>11</v>
      </c>
      <c r="E6" s="16" t="str">
        <f>+LOOKUP(D6,'Factor Integración'!$L$4:$L$15,'Factor Integración'!$M$4:$M$15)</f>
        <v>Noviembre</v>
      </c>
      <c r="F6" s="175">
        <f t="shared" si="2"/>
        <v>2005</v>
      </c>
      <c r="G6" s="118" t="s">
        <v>95</v>
      </c>
      <c r="H6" s="182">
        <f>+IF(Q6&gt;0,(LOOKUP(Q6,Tabulador!C$34:C$93,Tabulador!D$34:D$93)/7),0)</f>
        <v>171.42857142857142</v>
      </c>
      <c r="I6" s="40">
        <f t="shared" ca="1" si="3"/>
        <v>42332</v>
      </c>
      <c r="J6" s="42">
        <f t="shared" ca="1" si="4"/>
        <v>10</v>
      </c>
      <c r="K6" s="38">
        <f ca="1">+IF(J6&gt;0,(LOOKUP(J6,'Factor Integración'!C$5:C$44,'Factor Integración'!G$5:G$44)),'Factor Integración'!$G$5)</f>
        <v>1.0520547945205478</v>
      </c>
      <c r="L6" s="125">
        <f>+IF(Q6&lt;&gt;0,LOOKUP(Q6,Tabulador!C$33:C$93,Tabulador!D$33:D$93),0)</f>
        <v>1200</v>
      </c>
      <c r="M6" s="127" t="str">
        <f>+IF(L6&gt;0,(LOOKUP(L6,Tabulador!E$33:E$93,Tabulador!F$33:F$93)),0)</f>
        <v>(UN MIL DOSCIENTOS  PESOS  00/100 M.N.)</v>
      </c>
      <c r="N6" s="17">
        <f t="shared" ca="1" si="5"/>
        <v>180.35225048923675</v>
      </c>
      <c r="O6" s="92" t="s">
        <v>27</v>
      </c>
      <c r="P6" s="50" t="s">
        <v>207</v>
      </c>
      <c r="Q6" s="166">
        <v>6.1</v>
      </c>
      <c r="R6" s="93" t="s">
        <v>885</v>
      </c>
      <c r="S6" s="93" t="s">
        <v>886</v>
      </c>
      <c r="T6" s="128" t="s">
        <v>209</v>
      </c>
      <c r="U6" s="128" t="s">
        <v>222</v>
      </c>
      <c r="V6" s="106" t="s">
        <v>247</v>
      </c>
      <c r="W6" s="105" t="s">
        <v>248</v>
      </c>
      <c r="X6" s="137" t="s">
        <v>298</v>
      </c>
      <c r="Y6" s="178">
        <v>5291742215</v>
      </c>
      <c r="Z6" s="102" t="s">
        <v>448</v>
      </c>
      <c r="AA6" s="6" t="s">
        <v>449</v>
      </c>
      <c r="AB6" s="6" t="s">
        <v>253</v>
      </c>
      <c r="AD6" s="14">
        <v>27200</v>
      </c>
      <c r="AE6" s="52"/>
      <c r="AF6" s="160">
        <f t="shared" si="6"/>
        <v>20</v>
      </c>
      <c r="AG6" s="160">
        <f t="shared" si="7"/>
        <v>6</v>
      </c>
      <c r="AH6" s="109">
        <v>41</v>
      </c>
      <c r="AI6" s="61"/>
      <c r="AL6" s="6" t="s">
        <v>450</v>
      </c>
      <c r="AN6" s="6" t="s">
        <v>257</v>
      </c>
      <c r="AO6" s="6" t="s">
        <v>253</v>
      </c>
      <c r="AP6" s="178">
        <v>28150</v>
      </c>
      <c r="AQ6" s="160">
        <v>3243607</v>
      </c>
      <c r="AR6" s="175"/>
      <c r="AS6" s="8"/>
      <c r="AT6" s="98"/>
      <c r="AW6" s="96"/>
      <c r="AX6" s="1" t="s">
        <v>261</v>
      </c>
      <c r="AY6" s="51"/>
      <c r="AZ6" s="16"/>
      <c r="BA6" s="16"/>
      <c r="BB6" s="16"/>
      <c r="BC6" s="16"/>
      <c r="BD6" s="178"/>
      <c r="BE6" s="51"/>
      <c r="BF6" s="16"/>
      <c r="BG6" s="16"/>
      <c r="BH6" s="16"/>
      <c r="BI6" s="16"/>
      <c r="BJ6" s="156"/>
      <c r="BK6" s="67"/>
      <c r="BL6" s="7"/>
      <c r="BM6" s="66" t="s">
        <v>72</v>
      </c>
    </row>
    <row r="7" spans="1:71" s="6" customFormat="1" x14ac:dyDescent="0.2">
      <c r="A7" s="170">
        <v>20</v>
      </c>
      <c r="B7" s="139">
        <v>38866</v>
      </c>
      <c r="C7" s="175">
        <f t="shared" si="0"/>
        <v>29</v>
      </c>
      <c r="D7" s="175">
        <f t="shared" si="1"/>
        <v>5</v>
      </c>
      <c r="E7" s="16" t="str">
        <f>+LOOKUP(D7,'Factor Integración'!$L$4:$L$15,'Factor Integración'!$M$4:$M$15)</f>
        <v>Mayo</v>
      </c>
      <c r="F7" s="175">
        <f t="shared" si="2"/>
        <v>2006</v>
      </c>
      <c r="G7" s="112" t="s">
        <v>96</v>
      </c>
      <c r="H7" s="182">
        <f>+IF(Q7&gt;0,(LOOKUP(Q7,Tabulador!C$34:C$93,Tabulador!D$34:D$93)/7),0)</f>
        <v>178.57142857142858</v>
      </c>
      <c r="I7" s="40">
        <f t="shared" ca="1" si="3"/>
        <v>42519</v>
      </c>
      <c r="J7" s="42">
        <f t="shared" ca="1" si="4"/>
        <v>10</v>
      </c>
      <c r="K7" s="38">
        <f ca="1">+IF(J7&gt;0,(LOOKUP(J7,'Factor Integración'!C$5:C$44,'Factor Integración'!G$5:G$44)),'Factor Integración'!$G$5)</f>
        <v>1.0520547945205478</v>
      </c>
      <c r="L7" s="125">
        <f>+IF(Q7&lt;&gt;0,LOOKUP(Q7,Tabulador!C$33:C$93,Tabulador!D$33:D$93),0)</f>
        <v>1250</v>
      </c>
      <c r="M7" s="127" t="str">
        <f>+IF(L7&gt;0,(LOOKUP(L7,Tabulador!E$33:E$93,Tabulador!F$33:F$93)),0)</f>
        <v>(UN MIL DOSCIENTOS CINCUENTA  PESOS  00/100 M.N.)</v>
      </c>
      <c r="N7" s="17">
        <f t="shared" ca="1" si="5"/>
        <v>187.86692759295499</v>
      </c>
      <c r="O7" s="92" t="s">
        <v>27</v>
      </c>
      <c r="P7" s="50" t="s">
        <v>207</v>
      </c>
      <c r="Q7" s="166">
        <v>6.2</v>
      </c>
      <c r="R7" s="93" t="s">
        <v>881</v>
      </c>
      <c r="S7" s="93" t="s">
        <v>880</v>
      </c>
      <c r="T7" s="128" t="s">
        <v>212</v>
      </c>
      <c r="U7" s="128" t="s">
        <v>227</v>
      </c>
      <c r="V7" s="106" t="s">
        <v>247</v>
      </c>
      <c r="W7" s="105" t="s">
        <v>248</v>
      </c>
      <c r="X7" s="137" t="s">
        <v>250</v>
      </c>
      <c r="Y7" s="178">
        <v>52886606533</v>
      </c>
      <c r="Z7" s="102" t="s">
        <v>814</v>
      </c>
      <c r="AA7" s="6" t="s">
        <v>815</v>
      </c>
      <c r="AB7" s="6" t="s">
        <v>253</v>
      </c>
      <c r="AD7" s="14">
        <v>24248</v>
      </c>
      <c r="AE7" s="52"/>
      <c r="AF7" s="160">
        <f t="shared" si="6"/>
        <v>21</v>
      </c>
      <c r="AG7" s="160">
        <f t="shared" si="7"/>
        <v>5</v>
      </c>
      <c r="AH7" s="109">
        <v>49</v>
      </c>
      <c r="AI7" s="61"/>
      <c r="AL7" s="6" t="s">
        <v>816</v>
      </c>
      <c r="AM7" s="6" t="s">
        <v>893</v>
      </c>
      <c r="AN7" s="6" t="s">
        <v>257</v>
      </c>
      <c r="AO7" s="6" t="s">
        <v>253</v>
      </c>
      <c r="AP7" s="178">
        <v>28170</v>
      </c>
      <c r="AQ7" s="160">
        <v>3247067</v>
      </c>
      <c r="AR7" s="175">
        <v>3131115962</v>
      </c>
      <c r="AS7" s="8"/>
      <c r="AT7" s="98"/>
      <c r="AU7" s="6" t="s">
        <v>266</v>
      </c>
      <c r="AW7" s="96"/>
      <c r="AX7" s="1" t="s">
        <v>261</v>
      </c>
      <c r="AY7" s="51"/>
      <c r="AZ7" s="16"/>
      <c r="BA7" s="16"/>
      <c r="BB7" s="16"/>
      <c r="BC7" s="16"/>
      <c r="BD7" s="178"/>
      <c r="BE7" s="51"/>
      <c r="BF7" s="16"/>
      <c r="BG7" s="16"/>
      <c r="BH7" s="16"/>
      <c r="BI7" s="16"/>
      <c r="BJ7" s="156"/>
      <c r="BK7" s="68"/>
      <c r="BL7" s="7"/>
      <c r="BM7" s="66" t="s">
        <v>72</v>
      </c>
    </row>
    <row r="8" spans="1:71" s="6" customFormat="1" x14ac:dyDescent="0.2">
      <c r="A8" s="170">
        <v>27</v>
      </c>
      <c r="B8" s="139">
        <v>39886</v>
      </c>
      <c r="C8" s="175">
        <f t="shared" si="0"/>
        <v>14</v>
      </c>
      <c r="D8" s="175">
        <f t="shared" si="1"/>
        <v>3</v>
      </c>
      <c r="E8" s="16" t="str">
        <f>+LOOKUP(D8,'Factor Integración'!$L$4:$L$15,'Factor Integración'!$M$4:$M$15)</f>
        <v>Marzo</v>
      </c>
      <c r="F8" s="175">
        <f t="shared" si="2"/>
        <v>2009</v>
      </c>
      <c r="G8" s="112" t="s">
        <v>97</v>
      </c>
      <c r="H8" s="182">
        <f>+IF(Q8&gt;0,(LOOKUP(Q8,Tabulador!C$34:C$93,Tabulador!D$34:D$93)/7),0)</f>
        <v>214.21428571428572</v>
      </c>
      <c r="I8" s="40">
        <f t="shared" ca="1" si="3"/>
        <v>42443</v>
      </c>
      <c r="J8" s="42">
        <f t="shared" ca="1" si="4"/>
        <v>7</v>
      </c>
      <c r="K8" s="38">
        <f ca="1">+IF(J8&gt;0,(LOOKUP(J8,'Factor Integración'!C$5:C$44,'Factor Integración'!G$5:G$44)),'Factor Integración'!$G$5)</f>
        <v>1.0506849315068492</v>
      </c>
      <c r="L8" s="125">
        <f>+IF(Q8&lt;&gt;0,LOOKUP(Q8,Tabulador!C$33:C$93,Tabulador!D$33:D$93),0)</f>
        <v>1499.5</v>
      </c>
      <c r="M8" s="127" t="str">
        <f>+IF(L8&gt;0,(LOOKUP(L8,Tabulador!E$33:E$93,Tabulador!F$33:F$93)),0)</f>
        <v>(UN MIL CUATROCIENTOS CINCUENTA  PESOS  00/100 M.N.)</v>
      </c>
      <c r="N8" s="17">
        <f t="shared" ca="1" si="5"/>
        <v>225.07172211350291</v>
      </c>
      <c r="O8" s="92" t="s">
        <v>27</v>
      </c>
      <c r="P8" s="50" t="s">
        <v>207</v>
      </c>
      <c r="Q8" s="166">
        <v>7.3</v>
      </c>
      <c r="R8" s="93" t="s">
        <v>881</v>
      </c>
      <c r="S8" s="93" t="s">
        <v>880</v>
      </c>
      <c r="T8" s="128" t="s">
        <v>213</v>
      </c>
      <c r="U8" s="128" t="s">
        <v>227</v>
      </c>
      <c r="V8" s="106" t="s">
        <v>247</v>
      </c>
      <c r="W8" s="105" t="s">
        <v>248</v>
      </c>
      <c r="X8" s="137" t="s">
        <v>250</v>
      </c>
      <c r="Y8" s="178">
        <v>52078911428</v>
      </c>
      <c r="Z8" s="102" t="s">
        <v>768</v>
      </c>
      <c r="AA8" s="6" t="s">
        <v>769</v>
      </c>
      <c r="AB8" s="6" t="s">
        <v>253</v>
      </c>
      <c r="AD8" s="14">
        <v>32785</v>
      </c>
      <c r="AE8" s="52"/>
      <c r="AF8" s="160">
        <f t="shared" si="6"/>
        <v>4</v>
      </c>
      <c r="AG8" s="160">
        <f t="shared" si="7"/>
        <v>10</v>
      </c>
      <c r="AH8" s="109">
        <v>26</v>
      </c>
      <c r="AI8" s="61"/>
      <c r="AJ8" s="6" t="s">
        <v>852</v>
      </c>
      <c r="AK8" s="6" t="s">
        <v>853</v>
      </c>
      <c r="AL8" s="6" t="s">
        <v>854</v>
      </c>
      <c r="AM8" s="6" t="s">
        <v>834</v>
      </c>
      <c r="AN8" s="6" t="s">
        <v>257</v>
      </c>
      <c r="AO8" s="6" t="s">
        <v>253</v>
      </c>
      <c r="AP8" s="178">
        <v>28160</v>
      </c>
      <c r="AQ8" s="160">
        <v>3243993</v>
      </c>
      <c r="AR8" s="175">
        <v>3131261519</v>
      </c>
      <c r="AS8" s="8"/>
      <c r="AT8" s="98"/>
      <c r="AU8" s="6" t="s">
        <v>356</v>
      </c>
      <c r="AV8" s="6" t="s">
        <v>855</v>
      </c>
      <c r="AW8" s="96"/>
      <c r="AX8" s="1" t="s">
        <v>261</v>
      </c>
      <c r="AY8" s="51"/>
      <c r="AZ8" s="16"/>
      <c r="BA8" s="16"/>
      <c r="BB8" s="16"/>
      <c r="BC8" s="16"/>
      <c r="BD8" s="178"/>
      <c r="BE8" s="51"/>
      <c r="BF8" s="16"/>
      <c r="BG8" s="16"/>
      <c r="BH8" s="16"/>
      <c r="BI8" s="16"/>
      <c r="BJ8" s="156"/>
      <c r="BK8" s="67"/>
      <c r="BL8" s="7"/>
      <c r="BM8" s="66" t="s">
        <v>72</v>
      </c>
    </row>
    <row r="9" spans="1:71" s="6" customFormat="1" ht="12.75" customHeight="1" x14ac:dyDescent="0.2">
      <c r="A9" s="170">
        <v>28</v>
      </c>
      <c r="B9" s="139">
        <v>40868</v>
      </c>
      <c r="C9" s="175">
        <f t="shared" si="0"/>
        <v>21</v>
      </c>
      <c r="D9" s="175">
        <f t="shared" si="1"/>
        <v>11</v>
      </c>
      <c r="E9" s="16" t="str">
        <f>+LOOKUP(D9,'Factor Integración'!$L$4:$L$15,'Factor Integración'!$M$4:$M$15)</f>
        <v>Noviembre</v>
      </c>
      <c r="F9" s="175">
        <f t="shared" si="2"/>
        <v>2011</v>
      </c>
      <c r="G9" s="112" t="s">
        <v>98</v>
      </c>
      <c r="H9" s="182">
        <f>+IF(Q9&gt;0,(LOOKUP(Q9,Tabulador!C$34:C$93,Tabulador!D$34:D$93)/7),0)</f>
        <v>178.57142857142858</v>
      </c>
      <c r="I9" s="40">
        <f t="shared" ca="1" si="3"/>
        <v>42329</v>
      </c>
      <c r="J9" s="42">
        <f t="shared" ca="1" si="4"/>
        <v>4</v>
      </c>
      <c r="K9" s="38">
        <f ca="1">+IF(J9&gt;0,(LOOKUP(J9,'Factor Integración'!C$5:C$44,'Factor Integración'!G$5:G$44)),'Factor Integración'!$G$5)</f>
        <v>1.0493150684931507</v>
      </c>
      <c r="L9" s="125">
        <f>+IF(Q9&lt;&gt;0,LOOKUP(Q9,Tabulador!C$33:C$93,Tabulador!D$33:D$93),0)</f>
        <v>1250</v>
      </c>
      <c r="M9" s="127" t="str">
        <f>+IF(L9&gt;0,(LOOKUP(L9,Tabulador!E$33:E$93,Tabulador!F$33:F$93)),0)</f>
        <v>(UN MIL DOSCIENTOS CINCUENTA  PESOS  00/100 M.N.)</v>
      </c>
      <c r="N9" s="17">
        <f t="shared" ca="1" si="5"/>
        <v>187.37769080234835</v>
      </c>
      <c r="O9" s="92" t="s">
        <v>27</v>
      </c>
      <c r="P9" s="50" t="s">
        <v>207</v>
      </c>
      <c r="Q9" s="166">
        <v>6.2</v>
      </c>
      <c r="R9" s="93" t="s">
        <v>881</v>
      </c>
      <c r="S9" s="93" t="s">
        <v>880</v>
      </c>
      <c r="T9" s="128" t="s">
        <v>212</v>
      </c>
      <c r="U9" s="128" t="s">
        <v>227</v>
      </c>
      <c r="V9" s="106" t="s">
        <v>247</v>
      </c>
      <c r="W9" s="105" t="s">
        <v>248</v>
      </c>
      <c r="X9" s="137" t="s">
        <v>250</v>
      </c>
      <c r="Y9" s="178">
        <v>5201810960</v>
      </c>
      <c r="Z9" s="104" t="s">
        <v>817</v>
      </c>
      <c r="AA9" s="6" t="s">
        <v>818</v>
      </c>
      <c r="AB9" s="6" t="s">
        <v>253</v>
      </c>
      <c r="AD9" s="14">
        <v>29880</v>
      </c>
      <c r="AE9" s="52"/>
      <c r="AF9" s="160">
        <f t="shared" si="6"/>
        <v>21</v>
      </c>
      <c r="AG9" s="160">
        <f t="shared" si="7"/>
        <v>10</v>
      </c>
      <c r="AH9" s="109">
        <v>34</v>
      </c>
      <c r="AI9" s="61"/>
      <c r="AL9" s="6" t="s">
        <v>819</v>
      </c>
      <c r="AM9" s="6" t="s">
        <v>820</v>
      </c>
      <c r="AN9" s="6" t="s">
        <v>257</v>
      </c>
      <c r="AO9" s="6" t="s">
        <v>253</v>
      </c>
      <c r="AP9" s="178">
        <v>28130</v>
      </c>
      <c r="AQ9" s="160"/>
      <c r="AR9" s="175">
        <v>3137303402</v>
      </c>
      <c r="AS9" s="8"/>
      <c r="AT9" s="98"/>
      <c r="AU9" s="6" t="s">
        <v>258</v>
      </c>
      <c r="AW9" s="96"/>
      <c r="AX9" s="1" t="s">
        <v>261</v>
      </c>
      <c r="AY9" s="51"/>
      <c r="AZ9" s="16"/>
      <c r="BA9" s="16"/>
      <c r="BB9" s="16"/>
      <c r="BC9" s="16"/>
      <c r="BD9" s="178"/>
      <c r="BE9" s="51"/>
      <c r="BF9" s="16"/>
      <c r="BG9" s="16"/>
      <c r="BH9" s="16"/>
      <c r="BI9" s="16"/>
      <c r="BJ9" s="156"/>
      <c r="BK9" s="67"/>
      <c r="BL9" s="7"/>
      <c r="BM9" s="66" t="s">
        <v>72</v>
      </c>
    </row>
    <row r="10" spans="1:71" s="6" customFormat="1" x14ac:dyDescent="0.2">
      <c r="A10" s="170">
        <v>35</v>
      </c>
      <c r="B10" s="139">
        <v>41366</v>
      </c>
      <c r="C10" s="175">
        <f t="shared" si="0"/>
        <v>2</v>
      </c>
      <c r="D10" s="175">
        <f t="shared" si="1"/>
        <v>4</v>
      </c>
      <c r="E10" s="16" t="str">
        <f>+LOOKUP(D10,'Factor Integración'!$L$4:$L$15,'Factor Integración'!$M$4:$M$15)</f>
        <v>Abril</v>
      </c>
      <c r="F10" s="175">
        <f t="shared" si="2"/>
        <v>2013</v>
      </c>
      <c r="G10" s="112" t="s">
        <v>99</v>
      </c>
      <c r="H10" s="182">
        <f>+IF(Q10&gt;0,(LOOKUP(Q10,Tabulador!C$34:C$93,Tabulador!D$34:D$93)/7),0)</f>
        <v>242.78571428571428</v>
      </c>
      <c r="I10" s="40">
        <f t="shared" ca="1" si="3"/>
        <v>42462</v>
      </c>
      <c r="J10" s="42">
        <f t="shared" ca="1" si="4"/>
        <v>3</v>
      </c>
      <c r="K10" s="38">
        <f ca="1">+IF(J10&gt;0,(LOOKUP(J10,'Factor Integración'!C$5:C$44,'Factor Integración'!G$5:G$44)),'Factor Integración'!$G$5)</f>
        <v>1.047945205479452</v>
      </c>
      <c r="L10" s="125">
        <f>+IF(Q10&lt;&gt;0,LOOKUP(Q10,Tabulador!C$33:C$93,Tabulador!D$33:D$93),0)</f>
        <v>1699.5</v>
      </c>
      <c r="M10" s="127" t="str">
        <f>+IF(L10&gt;0,(LOOKUP(L10,Tabulador!E$33:E$93,Tabulador!F$33:F$93)),0)</f>
        <v>(UN MIL SEISCIENTOS CINCUENTA  PESOS  00/100 M.N.)</v>
      </c>
      <c r="N10" s="17">
        <f t="shared" ca="1" si="5"/>
        <v>254.42612524461839</v>
      </c>
      <c r="O10" s="92" t="s">
        <v>27</v>
      </c>
      <c r="P10" s="50" t="s">
        <v>207</v>
      </c>
      <c r="Q10" s="166">
        <v>8.3000000000000007</v>
      </c>
      <c r="R10" s="143" t="s">
        <v>149</v>
      </c>
      <c r="S10" s="93" t="s">
        <v>879</v>
      </c>
      <c r="T10" s="128" t="s">
        <v>214</v>
      </c>
      <c r="U10" s="128" t="s">
        <v>225</v>
      </c>
      <c r="V10" s="106" t="s">
        <v>247</v>
      </c>
      <c r="W10" s="105" t="s">
        <v>248</v>
      </c>
      <c r="X10" s="137" t="s">
        <v>298</v>
      </c>
      <c r="Y10" s="178">
        <v>52917423361</v>
      </c>
      <c r="Z10" s="103" t="s">
        <v>343</v>
      </c>
      <c r="AA10" s="6" t="s">
        <v>344</v>
      </c>
      <c r="AB10" s="6" t="s">
        <v>253</v>
      </c>
      <c r="AD10" s="14">
        <v>27333</v>
      </c>
      <c r="AE10" s="52"/>
      <c r="AF10" s="160">
        <f t="shared" si="6"/>
        <v>31</v>
      </c>
      <c r="AG10" s="160">
        <f t="shared" si="7"/>
        <v>10</v>
      </c>
      <c r="AH10" s="109">
        <v>41</v>
      </c>
      <c r="AI10" s="61"/>
      <c r="AJ10" s="6" t="s">
        <v>345</v>
      </c>
      <c r="AK10" s="6" t="s">
        <v>346</v>
      </c>
      <c r="AL10" s="6" t="s">
        <v>347</v>
      </c>
      <c r="AM10" s="6" t="s">
        <v>348</v>
      </c>
      <c r="AN10" s="6" t="s">
        <v>257</v>
      </c>
      <c r="AO10" s="6" t="s">
        <v>253</v>
      </c>
      <c r="AP10" s="178">
        <v>28180</v>
      </c>
      <c r="AQ10" s="160"/>
      <c r="AR10" s="175"/>
      <c r="AS10" s="8"/>
      <c r="AT10" s="98"/>
      <c r="AU10" s="6" t="s">
        <v>349</v>
      </c>
      <c r="AW10" s="96"/>
      <c r="AX10" s="1" t="s">
        <v>261</v>
      </c>
      <c r="AY10" s="51"/>
      <c r="AZ10" s="16"/>
      <c r="BA10" s="16"/>
      <c r="BB10" s="16"/>
      <c r="BC10" s="16"/>
      <c r="BD10" s="178"/>
      <c r="BE10" s="51"/>
      <c r="BF10" s="16"/>
      <c r="BG10" s="16"/>
      <c r="BH10" s="16"/>
      <c r="BI10" s="16"/>
      <c r="BJ10" s="156"/>
      <c r="BK10" s="67"/>
      <c r="BL10" s="7"/>
      <c r="BM10" s="66" t="s">
        <v>72</v>
      </c>
    </row>
    <row r="11" spans="1:71" s="6" customFormat="1" x14ac:dyDescent="0.2">
      <c r="A11" s="170">
        <v>38</v>
      </c>
      <c r="B11" s="139">
        <v>39468</v>
      </c>
      <c r="C11" s="175">
        <f t="shared" si="0"/>
        <v>21</v>
      </c>
      <c r="D11" s="175">
        <f t="shared" si="1"/>
        <v>1</v>
      </c>
      <c r="E11" s="16" t="str">
        <f>+LOOKUP(D11,'Factor Integración'!$L$4:$L$15,'Factor Integración'!$M$4:$M$15)</f>
        <v>Enero</v>
      </c>
      <c r="F11" s="175">
        <f t="shared" si="2"/>
        <v>2008</v>
      </c>
      <c r="G11" s="112" t="s">
        <v>100</v>
      </c>
      <c r="H11" s="182">
        <f>+IF(Q11&gt;0,(LOOKUP(Q11,Tabulador!C$34:C$93,Tabulador!D$34:D$93)/7),0)</f>
        <v>214.21428571428572</v>
      </c>
      <c r="I11" s="40">
        <f t="shared" ca="1" si="3"/>
        <v>42390</v>
      </c>
      <c r="J11" s="42">
        <f t="shared" ca="1" si="4"/>
        <v>8</v>
      </c>
      <c r="K11" s="38">
        <f ca="1">+IF(J11&gt;0,(LOOKUP(J11,'Factor Integración'!C$5:C$44,'Factor Integración'!G$5:G$44)),'Factor Integración'!$G$5)</f>
        <v>1.0506849315068492</v>
      </c>
      <c r="L11" s="125">
        <f>+IF(Q11&lt;&gt;0,LOOKUP(Q11,Tabulador!C$33:C$93,Tabulador!D$33:D$93),0)</f>
        <v>1499.5</v>
      </c>
      <c r="M11" s="127" t="str">
        <f>+IF(L11&gt;0,(LOOKUP(L11,Tabulador!E$33:E$93,Tabulador!F$33:F$93)),0)</f>
        <v>(UN MIL CUATROCIENTOS CINCUENTA  PESOS  00/100 M.N.)</v>
      </c>
      <c r="N11" s="17">
        <f t="shared" ca="1" si="5"/>
        <v>225.07172211350291</v>
      </c>
      <c r="O11" s="92" t="s">
        <v>27</v>
      </c>
      <c r="P11" s="50" t="s">
        <v>207</v>
      </c>
      <c r="Q11" s="166">
        <v>7.3</v>
      </c>
      <c r="R11" s="93" t="s">
        <v>881</v>
      </c>
      <c r="S11" s="93" t="s">
        <v>880</v>
      </c>
      <c r="T11" s="128" t="s">
        <v>212</v>
      </c>
      <c r="U11" s="128" t="s">
        <v>228</v>
      </c>
      <c r="V11" s="106" t="s">
        <v>247</v>
      </c>
      <c r="W11" s="105" t="s">
        <v>248</v>
      </c>
      <c r="X11" s="137" t="s">
        <v>250</v>
      </c>
      <c r="Y11" s="178">
        <v>52947606027</v>
      </c>
      <c r="Z11" s="103" t="s">
        <v>798</v>
      </c>
      <c r="AA11" s="6" t="s">
        <v>799</v>
      </c>
      <c r="AB11" s="6" t="s">
        <v>253</v>
      </c>
      <c r="AD11" s="14">
        <v>27883</v>
      </c>
      <c r="AE11" s="52"/>
      <c r="AF11" s="160">
        <f t="shared" si="6"/>
        <v>3</v>
      </c>
      <c r="AG11" s="160">
        <f t="shared" si="7"/>
        <v>5</v>
      </c>
      <c r="AH11" s="109">
        <v>39</v>
      </c>
      <c r="AI11" s="61"/>
      <c r="AJ11" s="6" t="s">
        <v>405</v>
      </c>
      <c r="AK11" s="6" t="s">
        <v>800</v>
      </c>
      <c r="AL11" s="6" t="s">
        <v>801</v>
      </c>
      <c r="AM11" s="6" t="s">
        <v>447</v>
      </c>
      <c r="AN11" s="6" t="s">
        <v>257</v>
      </c>
      <c r="AO11" s="6" t="s">
        <v>253</v>
      </c>
      <c r="AP11" s="178"/>
      <c r="AQ11" s="160">
        <v>3254207</v>
      </c>
      <c r="AR11" s="175">
        <v>3121393300</v>
      </c>
      <c r="AS11" s="8"/>
      <c r="AT11" s="98"/>
      <c r="AU11" s="6" t="s">
        <v>258</v>
      </c>
      <c r="AW11" s="96"/>
      <c r="AX11" s="1" t="s">
        <v>261</v>
      </c>
      <c r="AY11" s="51"/>
      <c r="AZ11" s="16"/>
      <c r="BA11" s="16"/>
      <c r="BB11" s="16"/>
      <c r="BC11" s="16"/>
      <c r="BD11" s="178"/>
      <c r="BE11" s="51"/>
      <c r="BF11" s="16"/>
      <c r="BG11" s="16"/>
      <c r="BH11" s="16"/>
      <c r="BI11" s="16"/>
      <c r="BJ11" s="156"/>
      <c r="BK11" s="67"/>
      <c r="BL11" s="7"/>
      <c r="BM11" s="66" t="s">
        <v>72</v>
      </c>
    </row>
    <row r="12" spans="1:71" s="6" customFormat="1" x14ac:dyDescent="0.2">
      <c r="A12" s="170">
        <v>39</v>
      </c>
      <c r="B12" s="139">
        <v>41533</v>
      </c>
      <c r="C12" s="175">
        <f t="shared" si="0"/>
        <v>16</v>
      </c>
      <c r="D12" s="175">
        <f t="shared" si="1"/>
        <v>9</v>
      </c>
      <c r="E12" s="16" t="str">
        <f>+LOOKUP(D12,'Factor Integración'!$L$4:$L$15,'Factor Integración'!$M$4:$M$15)</f>
        <v>Septiembre</v>
      </c>
      <c r="F12" s="175">
        <f t="shared" si="2"/>
        <v>2013</v>
      </c>
      <c r="G12" s="113" t="s">
        <v>101</v>
      </c>
      <c r="H12" s="182">
        <f>+IF(Q12&gt;0,(LOOKUP(Q12,Tabulador!C$34:C$93,Tabulador!D$34:D$93)/7),0)</f>
        <v>185.64285714285714</v>
      </c>
      <c r="I12" s="40">
        <f t="shared" ca="1" si="3"/>
        <v>42263</v>
      </c>
      <c r="J12" s="42">
        <f t="shared" ca="1" si="4"/>
        <v>2</v>
      </c>
      <c r="K12" s="38">
        <f ca="1">+IF(J12&gt;0,(LOOKUP(J12,'Factor Integración'!C$5:C$44,'Factor Integración'!G$5:G$44)),'Factor Integración'!$G$5)</f>
        <v>1.0465753424657533</v>
      </c>
      <c r="L12" s="125">
        <f>+IF(Q12&lt;&gt;0,LOOKUP(Q12,Tabulador!C$33:C$93,Tabulador!D$33:D$93),0)</f>
        <v>1299.5</v>
      </c>
      <c r="M12" s="127" t="str">
        <f>+IF(L12&gt;0,(LOOKUP(L12,Tabulador!E$33:E$93,Tabulador!F$33:F$93)),0)</f>
        <v>(UN MIL DOSCIENTOS CINCUENTA  PESOS  00/100 M.N.)</v>
      </c>
      <c r="N12" s="17">
        <f t="shared" ca="1" si="5"/>
        <v>194.28923679060662</v>
      </c>
      <c r="O12" s="92" t="s">
        <v>27</v>
      </c>
      <c r="P12" s="50" t="s">
        <v>207</v>
      </c>
      <c r="Q12" s="166">
        <v>6.3</v>
      </c>
      <c r="R12" s="143" t="s">
        <v>149</v>
      </c>
      <c r="S12" s="93" t="s">
        <v>879</v>
      </c>
      <c r="T12" s="129" t="s">
        <v>210</v>
      </c>
      <c r="U12" s="129" t="s">
        <v>226</v>
      </c>
      <c r="V12" s="106" t="s">
        <v>247</v>
      </c>
      <c r="W12" s="105" t="s">
        <v>248</v>
      </c>
      <c r="X12" s="137" t="s">
        <v>250</v>
      </c>
      <c r="Y12" s="178">
        <v>52997703443</v>
      </c>
      <c r="Z12" s="102" t="s">
        <v>552</v>
      </c>
      <c r="AA12" s="6" t="s">
        <v>553</v>
      </c>
      <c r="AB12" s="6" t="s">
        <v>253</v>
      </c>
      <c r="AD12" s="14">
        <v>28203</v>
      </c>
      <c r="AE12" s="52"/>
      <c r="AF12" s="160">
        <f t="shared" si="6"/>
        <v>19</v>
      </c>
      <c r="AG12" s="160">
        <f t="shared" si="7"/>
        <v>3</v>
      </c>
      <c r="AH12" s="109">
        <v>38</v>
      </c>
      <c r="AI12" s="61"/>
      <c r="AK12" s="6" t="s">
        <v>554</v>
      </c>
      <c r="AL12" s="6" t="s">
        <v>920</v>
      </c>
      <c r="AM12" s="6" t="s">
        <v>555</v>
      </c>
      <c r="AN12" s="6" t="s">
        <v>257</v>
      </c>
      <c r="AO12" s="6" t="s">
        <v>253</v>
      </c>
      <c r="AP12" s="178"/>
      <c r="AQ12" s="160"/>
      <c r="AR12" s="175">
        <v>3131061642</v>
      </c>
      <c r="AS12" s="8"/>
      <c r="AT12" s="98"/>
      <c r="AW12" s="96"/>
      <c r="AX12" s="1" t="s">
        <v>261</v>
      </c>
      <c r="AY12" s="51"/>
      <c r="AZ12" s="16"/>
      <c r="BA12" s="16"/>
      <c r="BB12" s="16"/>
      <c r="BC12" s="16"/>
      <c r="BD12" s="178"/>
      <c r="BE12" s="51"/>
      <c r="BF12" s="16"/>
      <c r="BG12" s="16"/>
      <c r="BH12" s="16"/>
      <c r="BI12" s="16"/>
      <c r="BJ12" s="156"/>
      <c r="BK12" s="67"/>
      <c r="BL12" s="7"/>
      <c r="BM12" s="66" t="s">
        <v>72</v>
      </c>
    </row>
    <row r="13" spans="1:71" s="6" customFormat="1" x14ac:dyDescent="0.2">
      <c r="A13" s="169">
        <v>52</v>
      </c>
      <c r="B13" s="139">
        <v>39657</v>
      </c>
      <c r="C13" s="175">
        <f t="shared" si="0"/>
        <v>28</v>
      </c>
      <c r="D13" s="175">
        <f t="shared" si="1"/>
        <v>7</v>
      </c>
      <c r="E13" s="16" t="str">
        <f>+LOOKUP(D13,'Factor Integración'!$L$4:$L$15,'Factor Integración'!$M$4:$M$15)</f>
        <v>Julio</v>
      </c>
      <c r="F13" s="175">
        <f t="shared" si="2"/>
        <v>2008</v>
      </c>
      <c r="G13" s="112" t="s">
        <v>102</v>
      </c>
      <c r="H13" s="182">
        <f>+IF(Q13&gt;0,(LOOKUP(Q13,Tabulador!C$34:C$93,Tabulador!D$34:D$93)/7),0)</f>
        <v>157.08589348571431</v>
      </c>
      <c r="I13" s="40">
        <f t="shared" ca="1" si="3"/>
        <v>42213</v>
      </c>
      <c r="J13" s="42">
        <f t="shared" ca="1" si="4"/>
        <v>7</v>
      </c>
      <c r="K13" s="38">
        <f ca="1">+IF(J13&gt;0,(LOOKUP(J13,'Factor Integración'!C$5:C$44,'Factor Integración'!G$5:G$44)),'Factor Integración'!$G$5)</f>
        <v>1.0506849315068492</v>
      </c>
      <c r="L13" s="125">
        <f>+IF(Q13&lt;&gt;0,LOOKUP(Q13,Tabulador!C$33:C$93,Tabulador!D$33:D$93),0)</f>
        <v>1099.6012544000002</v>
      </c>
      <c r="M13" s="127" t="str">
        <f>+IF(L13&gt;0,(LOOKUP(L13,Tabulador!E$33:E$93,Tabulador!F$33:F$93)),0)</f>
        <v>(UN MIL  PESOS  00/100 M.N.)</v>
      </c>
      <c r="N13" s="17">
        <f t="shared" ca="1" si="5"/>
        <v>165.04778123772994</v>
      </c>
      <c r="O13" s="92" t="s">
        <v>27</v>
      </c>
      <c r="P13" s="50" t="s">
        <v>207</v>
      </c>
      <c r="Q13" s="166">
        <v>5.4</v>
      </c>
      <c r="R13" s="93" t="s">
        <v>885</v>
      </c>
      <c r="S13" s="93" t="s">
        <v>886</v>
      </c>
      <c r="T13" s="128" t="s">
        <v>215</v>
      </c>
      <c r="U13" s="128" t="s">
        <v>229</v>
      </c>
      <c r="V13" s="106" t="s">
        <v>247</v>
      </c>
      <c r="W13" s="105" t="s">
        <v>248</v>
      </c>
      <c r="X13" s="137" t="s">
        <v>250</v>
      </c>
      <c r="Y13" s="178">
        <v>52937611391</v>
      </c>
      <c r="Z13" s="102" t="s">
        <v>653</v>
      </c>
      <c r="AA13" s="6" t="s">
        <v>654</v>
      </c>
      <c r="AB13" s="6" t="s">
        <v>253</v>
      </c>
      <c r="AD13" s="14">
        <v>22070</v>
      </c>
      <c r="AE13" s="52"/>
      <c r="AF13" s="160">
        <f t="shared" si="6"/>
        <v>3</v>
      </c>
      <c r="AG13" s="160">
        <f t="shared" si="7"/>
        <v>6</v>
      </c>
      <c r="AH13" s="109">
        <v>55</v>
      </c>
      <c r="AI13" s="61"/>
      <c r="AJ13" s="6" t="s">
        <v>655</v>
      </c>
      <c r="AK13" s="6" t="s">
        <v>656</v>
      </c>
      <c r="AL13" s="6" t="s">
        <v>657</v>
      </c>
      <c r="AM13" s="6" t="s">
        <v>658</v>
      </c>
      <c r="AN13" s="6" t="s">
        <v>257</v>
      </c>
      <c r="AO13" s="6" t="s">
        <v>253</v>
      </c>
      <c r="AP13" s="178">
        <v>28134</v>
      </c>
      <c r="AQ13" s="160"/>
      <c r="AR13" s="175">
        <v>31311374222</v>
      </c>
      <c r="AS13" s="8"/>
      <c r="AT13" s="98"/>
      <c r="AU13" s="6" t="s">
        <v>258</v>
      </c>
      <c r="AV13" s="6" t="s">
        <v>659</v>
      </c>
      <c r="AW13" s="96"/>
      <c r="AX13" s="1" t="s">
        <v>261</v>
      </c>
      <c r="AY13" s="51"/>
      <c r="AZ13" s="16"/>
      <c r="BA13" s="16"/>
      <c r="BB13" s="16"/>
      <c r="BC13" s="16"/>
      <c r="BD13" s="178"/>
      <c r="BE13" s="51"/>
      <c r="BF13" s="16"/>
      <c r="BG13" s="16"/>
      <c r="BH13" s="16"/>
      <c r="BI13" s="16"/>
      <c r="BJ13" s="156"/>
      <c r="BK13" s="67"/>
      <c r="BL13" s="7"/>
      <c r="BM13" s="66" t="s">
        <v>72</v>
      </c>
    </row>
    <row r="14" spans="1:71" s="6" customFormat="1" x14ac:dyDescent="0.2">
      <c r="A14" s="170">
        <v>53</v>
      </c>
      <c r="B14" s="139">
        <v>39699</v>
      </c>
      <c r="C14" s="175">
        <f t="shared" si="0"/>
        <v>8</v>
      </c>
      <c r="D14" s="175">
        <f t="shared" si="1"/>
        <v>9</v>
      </c>
      <c r="E14" s="16" t="str">
        <f>+LOOKUP(D14,'Factor Integración'!$L$4:$L$15,'Factor Integración'!$M$4:$M$15)</f>
        <v>Septiembre</v>
      </c>
      <c r="F14" s="175">
        <f t="shared" si="2"/>
        <v>2008</v>
      </c>
      <c r="G14" s="112" t="s">
        <v>103</v>
      </c>
      <c r="H14" s="182">
        <f>+IF(Q14&gt;0,(LOOKUP(Q14,Tabulador!C$34:C$93,Tabulador!D$34:D$93)/7),0)</f>
        <v>214.21428571428572</v>
      </c>
      <c r="I14" s="40">
        <f t="shared" ca="1" si="3"/>
        <v>42255</v>
      </c>
      <c r="J14" s="42">
        <f t="shared" ca="1" si="4"/>
        <v>7</v>
      </c>
      <c r="K14" s="38">
        <f ca="1">+IF(J14&gt;0,(LOOKUP(J14,'Factor Integración'!C$5:C$44,'Factor Integración'!G$5:G$44)),'Factor Integración'!$G$5)</f>
        <v>1.0506849315068492</v>
      </c>
      <c r="L14" s="125">
        <f>+IF(Q14&lt;&gt;0,LOOKUP(Q14,Tabulador!C$33:C$93,Tabulador!D$33:D$93),0)</f>
        <v>1499.5</v>
      </c>
      <c r="M14" s="127" t="str">
        <f>+IF(L14&gt;0,(LOOKUP(L14,Tabulador!E$33:E$93,Tabulador!F$33:F$93)),0)</f>
        <v>(UN MIL CUATROCIENTOS CINCUENTA  PESOS  00/100 M.N.)</v>
      </c>
      <c r="N14" s="17">
        <f t="shared" ca="1" si="5"/>
        <v>225.07172211350291</v>
      </c>
      <c r="O14" s="92" t="s">
        <v>27</v>
      </c>
      <c r="P14" s="50" t="s">
        <v>207</v>
      </c>
      <c r="Q14" s="166">
        <v>7.3</v>
      </c>
      <c r="R14" s="93" t="s">
        <v>881</v>
      </c>
      <c r="S14" s="93" t="s">
        <v>880</v>
      </c>
      <c r="T14" s="128" t="s">
        <v>212</v>
      </c>
      <c r="U14" s="128" t="s">
        <v>227</v>
      </c>
      <c r="V14" s="106" t="s">
        <v>247</v>
      </c>
      <c r="W14" s="105" t="s">
        <v>248</v>
      </c>
      <c r="X14" s="137" t="s">
        <v>250</v>
      </c>
      <c r="Y14" s="178">
        <v>52887009109</v>
      </c>
      <c r="Z14" s="102" t="s">
        <v>750</v>
      </c>
      <c r="AA14" s="6" t="s">
        <v>751</v>
      </c>
      <c r="AB14" s="6" t="s">
        <v>253</v>
      </c>
      <c r="AD14" s="14">
        <v>25666</v>
      </c>
      <c r="AE14" s="52"/>
      <c r="AF14" s="160">
        <f t="shared" si="6"/>
        <v>8</v>
      </c>
      <c r="AG14" s="160">
        <f t="shared" si="7"/>
        <v>4</v>
      </c>
      <c r="AH14" s="109">
        <v>45</v>
      </c>
      <c r="AI14" s="61"/>
      <c r="AJ14" s="6" t="s">
        <v>752</v>
      </c>
      <c r="AK14" s="6" t="s">
        <v>753</v>
      </c>
      <c r="AL14" s="6" t="s">
        <v>754</v>
      </c>
      <c r="AM14" s="6" t="s">
        <v>755</v>
      </c>
      <c r="AN14" s="6" t="s">
        <v>257</v>
      </c>
      <c r="AO14" s="6" t="s">
        <v>253</v>
      </c>
      <c r="AP14" s="178"/>
      <c r="AQ14" s="160">
        <v>3243491</v>
      </c>
      <c r="AR14" s="175">
        <v>3131137416</v>
      </c>
      <c r="AS14" s="8"/>
      <c r="AT14" s="98"/>
      <c r="AW14" s="96"/>
      <c r="AX14" s="1" t="s">
        <v>261</v>
      </c>
      <c r="AY14" s="51"/>
      <c r="AZ14" s="16"/>
      <c r="BA14" s="16"/>
      <c r="BB14" s="16"/>
      <c r="BC14" s="16"/>
      <c r="BD14" s="178"/>
      <c r="BE14" s="51"/>
      <c r="BF14" s="16"/>
      <c r="BG14" s="16"/>
      <c r="BH14" s="16"/>
      <c r="BI14" s="16"/>
      <c r="BJ14" s="156"/>
      <c r="BK14" s="67"/>
      <c r="BL14" s="7"/>
      <c r="BM14" s="66" t="s">
        <v>72</v>
      </c>
    </row>
    <row r="15" spans="1:71" s="6" customFormat="1" x14ac:dyDescent="0.2">
      <c r="A15" s="170">
        <v>59</v>
      </c>
      <c r="B15" s="139">
        <v>39846</v>
      </c>
      <c r="C15" s="175">
        <f t="shared" si="0"/>
        <v>2</v>
      </c>
      <c r="D15" s="175">
        <f t="shared" si="1"/>
        <v>2</v>
      </c>
      <c r="E15" s="16" t="str">
        <f>+LOOKUP(D15,'Factor Integración'!$L$4:$L$15,'Factor Integración'!$M$4:$M$15)</f>
        <v>Febrero</v>
      </c>
      <c r="F15" s="175">
        <f t="shared" si="2"/>
        <v>2009</v>
      </c>
      <c r="G15" s="112" t="s">
        <v>104</v>
      </c>
      <c r="H15" s="182">
        <f>+IF(Q15&gt;0,(LOOKUP(Q15,Tabulador!C$34:C$93,Tabulador!D$34:D$93)/7),0)</f>
        <v>285.71428571428572</v>
      </c>
      <c r="I15" s="40">
        <f t="shared" ca="1" si="3"/>
        <v>42402</v>
      </c>
      <c r="J15" s="42">
        <f t="shared" ca="1" si="4"/>
        <v>7</v>
      </c>
      <c r="K15" s="38">
        <f ca="1">+IF(J15&gt;0,(LOOKUP(J15,'Factor Integración'!C$5:C$44,'Factor Integración'!G$5:G$44)),'Factor Integración'!$G$5)</f>
        <v>1.0506849315068492</v>
      </c>
      <c r="L15" s="125">
        <f>+IF(Q15&lt;&gt;0,LOOKUP(Q15,Tabulador!C$33:C$93,Tabulador!D$33:D$93),0)</f>
        <v>2000</v>
      </c>
      <c r="M15" s="127" t="str">
        <f>+IF(L15&gt;0,(LOOKUP(L15,Tabulador!E$33:E$93,Tabulador!F$33:F$93)),0)</f>
        <v>(DOS MIL  PESOS  00/100 M.N.)</v>
      </c>
      <c r="N15" s="17">
        <f t="shared" ca="1" si="5"/>
        <v>300.1956947162426</v>
      </c>
      <c r="O15" s="92" t="s">
        <v>27</v>
      </c>
      <c r="P15" s="50" t="s">
        <v>207</v>
      </c>
      <c r="Q15" s="166">
        <v>9.1</v>
      </c>
      <c r="R15" s="93" t="s">
        <v>885</v>
      </c>
      <c r="S15" s="93" t="s">
        <v>886</v>
      </c>
      <c r="T15" s="128" t="s">
        <v>216</v>
      </c>
      <c r="U15" s="128" t="s">
        <v>230</v>
      </c>
      <c r="V15" s="106" t="s">
        <v>247</v>
      </c>
      <c r="W15" s="105" t="s">
        <v>248</v>
      </c>
      <c r="X15" s="137" t="s">
        <v>250</v>
      </c>
      <c r="Y15" s="178">
        <v>52957809362</v>
      </c>
      <c r="Z15" s="102" t="s">
        <v>732</v>
      </c>
      <c r="AA15" s="6" t="s">
        <v>733</v>
      </c>
      <c r="AD15" s="14">
        <v>28767</v>
      </c>
      <c r="AE15" s="52"/>
      <c r="AF15" s="160">
        <f t="shared" si="6"/>
        <v>4</v>
      </c>
      <c r="AG15" s="160">
        <f t="shared" si="7"/>
        <v>10</v>
      </c>
      <c r="AH15" s="109">
        <v>37</v>
      </c>
      <c r="AI15" s="61"/>
      <c r="AJ15" s="6" t="s">
        <v>734</v>
      </c>
      <c r="AK15" s="6" t="s">
        <v>735</v>
      </c>
      <c r="AL15" s="6" t="s">
        <v>736</v>
      </c>
      <c r="AM15" s="6" t="s">
        <v>408</v>
      </c>
      <c r="AN15" s="6" t="s">
        <v>714</v>
      </c>
      <c r="AO15" s="6" t="s">
        <v>253</v>
      </c>
      <c r="AP15" s="178">
        <v>28170</v>
      </c>
      <c r="AQ15" s="160">
        <v>3247038</v>
      </c>
      <c r="AR15" s="175">
        <v>3131198521</v>
      </c>
      <c r="AS15" s="8"/>
      <c r="AT15" s="98"/>
      <c r="AU15" s="6" t="s">
        <v>258</v>
      </c>
      <c r="AV15" s="6" t="s">
        <v>737</v>
      </c>
      <c r="AW15" s="96"/>
      <c r="AX15" s="1" t="s">
        <v>261</v>
      </c>
      <c r="AY15" s="51"/>
      <c r="AZ15" s="16"/>
      <c r="BA15" s="16"/>
      <c r="BB15" s="16"/>
      <c r="BC15" s="16"/>
      <c r="BD15" s="178"/>
      <c r="BE15" s="51"/>
      <c r="BF15" s="16"/>
      <c r="BG15" s="16"/>
      <c r="BH15" s="16"/>
      <c r="BI15" s="16"/>
      <c r="BJ15" s="156"/>
      <c r="BK15" s="67"/>
      <c r="BL15" s="7"/>
      <c r="BM15" s="66" t="s">
        <v>72</v>
      </c>
    </row>
    <row r="16" spans="1:71" s="6" customFormat="1" x14ac:dyDescent="0.2">
      <c r="A16" s="170">
        <v>65</v>
      </c>
      <c r="B16" s="139">
        <v>39910</v>
      </c>
      <c r="C16" s="175">
        <f t="shared" si="0"/>
        <v>7</v>
      </c>
      <c r="D16" s="175">
        <f t="shared" si="1"/>
        <v>4</v>
      </c>
      <c r="E16" s="16" t="str">
        <f>+LOOKUP(D16,'Factor Integración'!$L$4:$L$15,'Factor Integración'!$M$4:$M$15)</f>
        <v>Abril</v>
      </c>
      <c r="F16" s="175">
        <f t="shared" si="2"/>
        <v>2009</v>
      </c>
      <c r="G16" s="112" t="s">
        <v>105</v>
      </c>
      <c r="H16" s="182">
        <f>+IF(Q16&gt;0,(LOOKUP(Q16,Tabulador!C$34:C$93,Tabulador!D$34:D$93)/7),0)</f>
        <v>185.64285714285714</v>
      </c>
      <c r="I16" s="40">
        <f t="shared" ca="1" si="3"/>
        <v>42467</v>
      </c>
      <c r="J16" s="42">
        <f t="shared" ca="1" si="4"/>
        <v>7</v>
      </c>
      <c r="K16" s="38">
        <f ca="1">+IF(J16&gt;0,(LOOKUP(J16,'Factor Integración'!C$5:C$44,'Factor Integración'!G$5:G$44)),'Factor Integración'!$G$5)</f>
        <v>1.0506849315068492</v>
      </c>
      <c r="L16" s="125">
        <f>+IF(Q16&lt;&gt;0,LOOKUP(Q16,Tabulador!C$33:C$93,Tabulador!D$33:D$93),0)</f>
        <v>1299.5</v>
      </c>
      <c r="M16" s="127" t="str">
        <f>+IF(L16&gt;0,(LOOKUP(L16,Tabulador!E$33:E$93,Tabulador!F$33:F$93)),0)</f>
        <v>(UN MIL DOSCIENTOS CINCUENTA  PESOS  00/100 M.N.)</v>
      </c>
      <c r="N16" s="17">
        <f t="shared" ca="1" si="5"/>
        <v>195.05215264187865</v>
      </c>
      <c r="O16" s="92" t="s">
        <v>27</v>
      </c>
      <c r="P16" s="50" t="s">
        <v>207</v>
      </c>
      <c r="Q16" s="167">
        <v>6.3</v>
      </c>
      <c r="R16" s="143" t="s">
        <v>149</v>
      </c>
      <c r="S16" s="93" t="s">
        <v>879</v>
      </c>
      <c r="T16" s="128" t="s">
        <v>217</v>
      </c>
      <c r="U16" s="128" t="s">
        <v>714</v>
      </c>
      <c r="V16" s="106" t="s">
        <v>247</v>
      </c>
      <c r="W16" s="105" t="s">
        <v>248</v>
      </c>
      <c r="X16" s="137" t="s">
        <v>250</v>
      </c>
      <c r="Y16" s="178">
        <v>52886506618</v>
      </c>
      <c r="Z16" s="103" t="s">
        <v>471</v>
      </c>
      <c r="AA16" s="6" t="s">
        <v>472</v>
      </c>
      <c r="AB16" s="6" t="s">
        <v>253</v>
      </c>
      <c r="AD16" s="14">
        <v>23826</v>
      </c>
      <c r="AE16" s="52"/>
      <c r="AF16" s="160">
        <f t="shared" si="6"/>
        <v>25</v>
      </c>
      <c r="AG16" s="160">
        <f t="shared" si="7"/>
        <v>3</v>
      </c>
      <c r="AH16" s="109">
        <v>50</v>
      </c>
      <c r="AI16" s="61"/>
      <c r="AJ16" s="6" t="s">
        <v>473</v>
      </c>
      <c r="AK16" s="6" t="s">
        <v>474</v>
      </c>
      <c r="AL16" s="6" t="s">
        <v>475</v>
      </c>
      <c r="AM16" s="6" t="s">
        <v>567</v>
      </c>
      <c r="AN16" s="6" t="s">
        <v>285</v>
      </c>
      <c r="AO16" s="6" t="s">
        <v>253</v>
      </c>
      <c r="AP16" s="178">
        <v>28170</v>
      </c>
      <c r="AQ16" s="160"/>
      <c r="AR16" s="175">
        <v>3131064104</v>
      </c>
      <c r="AS16" s="8"/>
      <c r="AT16" s="98"/>
      <c r="AU16" s="6" t="s">
        <v>258</v>
      </c>
      <c r="AV16" s="6" t="s">
        <v>476</v>
      </c>
      <c r="AW16" s="96">
        <v>422808</v>
      </c>
      <c r="AX16" s="1" t="s">
        <v>261</v>
      </c>
      <c r="AY16" s="51"/>
      <c r="AZ16" s="16"/>
      <c r="BA16" s="16"/>
      <c r="BB16" s="16"/>
      <c r="BC16" s="16"/>
      <c r="BD16" s="178"/>
      <c r="BE16" s="51"/>
      <c r="BF16" s="16"/>
      <c r="BG16" s="16"/>
      <c r="BH16" s="16"/>
      <c r="BI16" s="16"/>
      <c r="BJ16" s="156"/>
      <c r="BK16" s="67"/>
      <c r="BL16" s="7"/>
      <c r="BM16" s="66" t="s">
        <v>72</v>
      </c>
    </row>
    <row r="17" spans="1:127" s="6" customFormat="1" x14ac:dyDescent="0.2">
      <c r="A17" s="170">
        <v>73</v>
      </c>
      <c r="B17" s="139">
        <v>40221</v>
      </c>
      <c r="C17" s="175">
        <f t="shared" si="0"/>
        <v>12</v>
      </c>
      <c r="D17" s="175">
        <f t="shared" si="1"/>
        <v>2</v>
      </c>
      <c r="E17" s="16" t="str">
        <f>+LOOKUP(D17,'Factor Integración'!$L$4:$L$15,'Factor Integración'!$M$4:$M$15)</f>
        <v>Febrero</v>
      </c>
      <c r="F17" s="175">
        <f t="shared" si="2"/>
        <v>2010</v>
      </c>
      <c r="G17" s="112" t="s">
        <v>106</v>
      </c>
      <c r="H17" s="182">
        <f>+IF(Q17&gt;0,(LOOKUP(Q17,Tabulador!C$34:C$93,Tabulador!D$34:D$93)/7),0)</f>
        <v>214.21428571428572</v>
      </c>
      <c r="I17" s="40">
        <f t="shared" ca="1" si="3"/>
        <v>42412</v>
      </c>
      <c r="J17" s="42">
        <f t="shared" ca="1" si="4"/>
        <v>6</v>
      </c>
      <c r="K17" s="38">
        <f ca="1">+IF(J17&gt;0,(LOOKUP(J17,'Factor Integración'!C$5:C$44,'Factor Integración'!G$5:G$44)),'Factor Integración'!$G$5)</f>
        <v>1.0506849315068492</v>
      </c>
      <c r="L17" s="125">
        <f>+IF(Q17&lt;&gt;0,LOOKUP(Q17,Tabulador!C$33:C$93,Tabulador!D$33:D$93),0)</f>
        <v>1499.5</v>
      </c>
      <c r="M17" s="127" t="str">
        <f>+IF(L17&gt;0,(LOOKUP(L17,Tabulador!E$33:E$93,Tabulador!F$33:F$93)),0)</f>
        <v>(UN MIL CUATROCIENTOS CINCUENTA  PESOS  00/100 M.N.)</v>
      </c>
      <c r="N17" s="17">
        <f t="shared" ca="1" si="5"/>
        <v>225.07172211350291</v>
      </c>
      <c r="O17" s="92" t="s">
        <v>27</v>
      </c>
      <c r="P17" s="50" t="s">
        <v>207</v>
      </c>
      <c r="Q17" s="166">
        <v>7.3</v>
      </c>
      <c r="R17" s="93" t="s">
        <v>881</v>
      </c>
      <c r="S17" s="93" t="s">
        <v>880</v>
      </c>
      <c r="T17" s="128" t="s">
        <v>212</v>
      </c>
      <c r="U17" s="128" t="s">
        <v>231</v>
      </c>
      <c r="V17" s="106" t="s">
        <v>247</v>
      </c>
      <c r="W17" s="105" t="s">
        <v>248</v>
      </c>
      <c r="X17" s="137" t="s">
        <v>250</v>
      </c>
      <c r="Y17" s="178">
        <v>52927203662</v>
      </c>
      <c r="Z17" s="102" t="s">
        <v>779</v>
      </c>
      <c r="AA17" s="6" t="s">
        <v>780</v>
      </c>
      <c r="AB17" s="6" t="s">
        <v>253</v>
      </c>
      <c r="AD17" s="14">
        <v>26545</v>
      </c>
      <c r="AE17" s="52"/>
      <c r="AF17" s="160">
        <f t="shared" si="6"/>
        <v>3</v>
      </c>
      <c r="AG17" s="160">
        <f t="shared" si="7"/>
        <v>9</v>
      </c>
      <c r="AH17" s="109">
        <v>43</v>
      </c>
      <c r="AI17" s="61"/>
      <c r="AJ17" s="6" t="s">
        <v>781</v>
      </c>
      <c r="AK17" s="6" t="s">
        <v>782</v>
      </c>
      <c r="AL17" s="6" t="s">
        <v>783</v>
      </c>
      <c r="AM17" s="6" t="s">
        <v>784</v>
      </c>
      <c r="AN17" s="6" t="s">
        <v>257</v>
      </c>
      <c r="AO17" s="6" t="s">
        <v>253</v>
      </c>
      <c r="AP17" s="178">
        <v>28134</v>
      </c>
      <c r="AQ17" s="160">
        <v>3254844</v>
      </c>
      <c r="AR17" s="175"/>
      <c r="AS17" s="8"/>
      <c r="AT17" s="98"/>
      <c r="AW17" s="96"/>
      <c r="AX17" s="1" t="s">
        <v>261</v>
      </c>
      <c r="AY17" s="51"/>
      <c r="AZ17" s="16"/>
      <c r="BA17" s="16"/>
      <c r="BB17" s="16"/>
      <c r="BC17" s="16"/>
      <c r="BD17" s="178"/>
      <c r="BE17" s="51"/>
      <c r="BF17" s="16"/>
      <c r="BG17" s="16"/>
      <c r="BH17" s="16"/>
      <c r="BI17" s="16"/>
      <c r="BJ17" s="156"/>
      <c r="BK17" s="67"/>
      <c r="BL17" s="7"/>
      <c r="BM17" s="66" t="s">
        <v>72</v>
      </c>
    </row>
    <row r="18" spans="1:127" s="6" customFormat="1" x14ac:dyDescent="0.2">
      <c r="A18" s="170">
        <v>80</v>
      </c>
      <c r="B18" s="139">
        <v>41085</v>
      </c>
      <c r="C18" s="175">
        <f t="shared" si="0"/>
        <v>25</v>
      </c>
      <c r="D18" s="175">
        <f t="shared" si="1"/>
        <v>6</v>
      </c>
      <c r="E18" s="16" t="str">
        <f>+LOOKUP(D18,'Factor Integración'!$L$4:$L$15,'Factor Integración'!$M$4:$M$15)</f>
        <v>Junio</v>
      </c>
      <c r="F18" s="175">
        <f t="shared" si="2"/>
        <v>2012</v>
      </c>
      <c r="G18" s="113" t="s">
        <v>107</v>
      </c>
      <c r="H18" s="182">
        <f>+IF(Q18&gt;0,(LOOKUP(Q18,Tabulador!C$34:C$93,Tabulador!D$34:D$93)/7),0)</f>
        <v>257.14285714285717</v>
      </c>
      <c r="I18" s="40">
        <f t="shared" ca="1" si="3"/>
        <v>42546</v>
      </c>
      <c r="J18" s="42">
        <f t="shared" ca="1" si="4"/>
        <v>4</v>
      </c>
      <c r="K18" s="38">
        <f ca="1">+IF(J18&gt;0,(LOOKUP(J18,'Factor Integración'!C$5:C$44,'Factor Integración'!G$5:G$44)),'Factor Integración'!$G$5)</f>
        <v>1.0493150684931507</v>
      </c>
      <c r="L18" s="125">
        <f>+IF(Q18&lt;&gt;0,LOOKUP(Q18,Tabulador!C$33:C$93,Tabulador!D$33:D$93),0)</f>
        <v>1800</v>
      </c>
      <c r="M18" s="127" t="str">
        <f>+IF(L18&gt;0,(LOOKUP(L18,Tabulador!E$33:E$93,Tabulador!F$33:F$93)),0)</f>
        <v>(UN MIL OCHOCIENTOS  PESOS  00/100 M.N.)</v>
      </c>
      <c r="N18" s="17">
        <f t="shared" ca="1" si="5"/>
        <v>269.82387475538161</v>
      </c>
      <c r="O18" s="94" t="s">
        <v>27</v>
      </c>
      <c r="P18" s="50" t="s">
        <v>207</v>
      </c>
      <c r="Q18" s="166">
        <v>8.4</v>
      </c>
      <c r="R18" s="143" t="s">
        <v>149</v>
      </c>
      <c r="S18" s="93" t="s">
        <v>879</v>
      </c>
      <c r="T18" s="129" t="s">
        <v>214</v>
      </c>
      <c r="U18" s="129" t="s">
        <v>232</v>
      </c>
      <c r="V18" s="106" t="s">
        <v>247</v>
      </c>
      <c r="W18" s="105" t="s">
        <v>248</v>
      </c>
      <c r="X18" s="137" t="s">
        <v>250</v>
      </c>
      <c r="Y18" s="178">
        <v>52028601434</v>
      </c>
      <c r="Z18" s="102" t="s">
        <v>270</v>
      </c>
      <c r="AA18" s="102" t="s">
        <v>269</v>
      </c>
      <c r="AB18" s="6" t="s">
        <v>253</v>
      </c>
      <c r="AD18" s="14">
        <v>31510</v>
      </c>
      <c r="AE18" s="52"/>
      <c r="AF18" s="160">
        <f t="shared" si="6"/>
        <v>8</v>
      </c>
      <c r="AG18" s="160">
        <f t="shared" si="7"/>
        <v>4</v>
      </c>
      <c r="AH18" s="109">
        <v>29</v>
      </c>
      <c r="AI18" s="61"/>
      <c r="AJ18" s="6" t="s">
        <v>271</v>
      </c>
      <c r="AK18" s="6" t="s">
        <v>272</v>
      </c>
      <c r="AL18" s="6" t="s">
        <v>934</v>
      </c>
      <c r="AM18" s="6" t="s">
        <v>326</v>
      </c>
      <c r="AN18" s="6" t="s">
        <v>257</v>
      </c>
      <c r="AO18" s="6" t="s">
        <v>253</v>
      </c>
      <c r="AP18" s="178">
        <v>28190</v>
      </c>
      <c r="AQ18" s="160"/>
      <c r="AR18" s="175">
        <v>3131232897</v>
      </c>
      <c r="AS18" s="8"/>
      <c r="AT18" s="98"/>
      <c r="AU18" s="6" t="s">
        <v>258</v>
      </c>
      <c r="AV18" s="6" t="s">
        <v>274</v>
      </c>
      <c r="AW18" s="96"/>
      <c r="AX18" s="8" t="s">
        <v>261</v>
      </c>
      <c r="AY18" s="51"/>
      <c r="AZ18" s="16"/>
      <c r="BA18" s="16"/>
      <c r="BB18" s="16"/>
      <c r="BC18" s="16"/>
      <c r="BD18" s="178"/>
      <c r="BE18" s="51"/>
      <c r="BF18" s="16"/>
      <c r="BG18" s="16"/>
      <c r="BH18" s="16"/>
      <c r="BI18" s="16"/>
      <c r="BJ18" s="156"/>
      <c r="BK18" s="67"/>
      <c r="BL18" s="7"/>
      <c r="BM18" s="6" t="s">
        <v>72</v>
      </c>
      <c r="BN18" s="14"/>
      <c r="BO18" s="51"/>
      <c r="BP18" s="51"/>
      <c r="BQ18" s="51"/>
      <c r="BR18" s="51"/>
    </row>
    <row r="19" spans="1:127" s="6" customFormat="1" x14ac:dyDescent="0.2">
      <c r="A19" s="170">
        <v>90</v>
      </c>
      <c r="B19" s="139">
        <v>40527</v>
      </c>
      <c r="C19" s="175">
        <f t="shared" si="0"/>
        <v>15</v>
      </c>
      <c r="D19" s="175">
        <f t="shared" si="1"/>
        <v>12</v>
      </c>
      <c r="E19" s="16" t="str">
        <f>+LOOKUP(D19,'Factor Integración'!$L$4:$L$15,'Factor Integración'!$M$4:$M$15)</f>
        <v>Diciembre</v>
      </c>
      <c r="F19" s="175">
        <f t="shared" si="2"/>
        <v>2010</v>
      </c>
      <c r="G19" s="112" t="s">
        <v>108</v>
      </c>
      <c r="H19" s="182">
        <f>+IF(Q19&gt;0,(LOOKUP(Q19,Tabulador!C$34:C$93,Tabulador!D$34:D$93)/7),0)</f>
        <v>285.71428571428572</v>
      </c>
      <c r="I19" s="40">
        <f t="shared" ca="1" si="3"/>
        <v>42353</v>
      </c>
      <c r="J19" s="42">
        <f t="shared" ca="1" si="4"/>
        <v>5</v>
      </c>
      <c r="K19" s="38">
        <f ca="1">+IF(J19&gt;0,(LOOKUP(J19,'Factor Integración'!C$5:C$44,'Factor Integración'!G$5:G$44)),'Factor Integración'!$G$5)</f>
        <v>1.0506849315068492</v>
      </c>
      <c r="L19" s="125">
        <f>+IF(Q19&lt;&gt;0,LOOKUP(Q19,Tabulador!C$33:C$93,Tabulador!D$33:D$93),0)</f>
        <v>2000</v>
      </c>
      <c r="M19" s="127" t="str">
        <f>+IF(L19&gt;0,(LOOKUP(L19,Tabulador!E$33:E$93,Tabulador!F$33:F$93)),0)</f>
        <v>(DOS MIL  PESOS  00/100 M.N.)</v>
      </c>
      <c r="N19" s="17">
        <f t="shared" ca="1" si="5"/>
        <v>300.1956947162426</v>
      </c>
      <c r="O19" s="94" t="s">
        <v>27</v>
      </c>
      <c r="P19" s="50" t="s">
        <v>207</v>
      </c>
      <c r="Q19" s="166">
        <v>9.1</v>
      </c>
      <c r="R19" s="93" t="s">
        <v>885</v>
      </c>
      <c r="S19" s="93" t="s">
        <v>886</v>
      </c>
      <c r="T19" s="128" t="s">
        <v>218</v>
      </c>
      <c r="U19" s="128" t="s">
        <v>233</v>
      </c>
      <c r="V19" s="106" t="s">
        <v>247</v>
      </c>
      <c r="W19" s="105" t="s">
        <v>248</v>
      </c>
      <c r="X19" s="137" t="s">
        <v>250</v>
      </c>
      <c r="Y19" s="178">
        <v>52078402824</v>
      </c>
      <c r="Z19" s="102" t="s">
        <v>709</v>
      </c>
      <c r="AA19" s="6" t="s">
        <v>710</v>
      </c>
      <c r="AB19" s="6" t="s">
        <v>253</v>
      </c>
      <c r="AD19" s="14">
        <v>31022</v>
      </c>
      <c r="AE19" s="52"/>
      <c r="AF19" s="160">
        <f t="shared" si="6"/>
        <v>6</v>
      </c>
      <c r="AG19" s="160">
        <f t="shared" si="7"/>
        <v>12</v>
      </c>
      <c r="AH19" s="109">
        <v>31</v>
      </c>
      <c r="AI19" s="61"/>
      <c r="AJ19" s="6" t="s">
        <v>711</v>
      </c>
      <c r="AK19" s="6" t="s">
        <v>712</v>
      </c>
      <c r="AL19" s="6" t="s">
        <v>888</v>
      </c>
      <c r="AM19" s="6" t="s">
        <v>337</v>
      </c>
      <c r="AN19" s="6" t="s">
        <v>257</v>
      </c>
      <c r="AO19" s="6" t="s">
        <v>253</v>
      </c>
      <c r="AP19" s="178">
        <v>28190</v>
      </c>
      <c r="AQ19" s="160"/>
      <c r="AR19" s="175">
        <v>3131353325</v>
      </c>
      <c r="AS19" s="8"/>
      <c r="AT19" s="98"/>
      <c r="AU19" s="6" t="s">
        <v>713</v>
      </c>
      <c r="AW19" s="96"/>
      <c r="AX19" s="11" t="s">
        <v>261</v>
      </c>
      <c r="AY19" s="51"/>
      <c r="AZ19" s="16"/>
      <c r="BA19" s="16"/>
      <c r="BB19" s="16"/>
      <c r="BC19" s="16"/>
      <c r="BD19" s="178"/>
      <c r="BE19" s="51"/>
      <c r="BF19" s="16"/>
      <c r="BG19" s="16"/>
      <c r="BH19" s="16"/>
      <c r="BI19" s="16"/>
      <c r="BJ19" s="156"/>
      <c r="BK19" s="67"/>
      <c r="BL19" s="7"/>
      <c r="BM19" s="6" t="s">
        <v>72</v>
      </c>
    </row>
    <row r="20" spans="1:127" s="6" customFormat="1" x14ac:dyDescent="0.2">
      <c r="A20" s="170">
        <v>91</v>
      </c>
      <c r="B20" s="139">
        <v>42237</v>
      </c>
      <c r="C20" s="175">
        <f t="shared" si="0"/>
        <v>21</v>
      </c>
      <c r="D20" s="175">
        <f t="shared" si="1"/>
        <v>8</v>
      </c>
      <c r="E20" s="16" t="str">
        <f>+LOOKUP(D20,'Factor Integración'!$L$4:$L$15,'Factor Integración'!$M$4:$M$15)</f>
        <v>Agosto</v>
      </c>
      <c r="F20" s="175">
        <f t="shared" si="2"/>
        <v>2015</v>
      </c>
      <c r="G20" s="112" t="s">
        <v>109</v>
      </c>
      <c r="H20" s="182">
        <f>+IF(Q20&gt;0,(LOOKUP(Q20,Tabulador!C$34:C$93,Tabulador!D$34:D$93)/7),0)</f>
        <v>178.57142857142858</v>
      </c>
      <c r="I20" s="40">
        <f t="shared" ca="1" si="3"/>
        <v>42237</v>
      </c>
      <c r="J20" s="42">
        <f t="shared" ca="1" si="4"/>
        <v>0</v>
      </c>
      <c r="K20" s="38">
        <f ca="1">+IF(J20&gt;0,(LOOKUP(J20,'Factor Integración'!C$5:C$44,'Factor Integración'!G$5:G$44)),'Factor Integración'!$G$5)</f>
        <v>1.0452054794520547</v>
      </c>
      <c r="L20" s="125">
        <f>+IF(Q20&lt;&gt;0,LOOKUP(Q20,Tabulador!C$33:C$93,Tabulador!D$33:D$93),0)</f>
        <v>1250</v>
      </c>
      <c r="M20" s="127" t="str">
        <f>+IF(L20&gt;0,(LOOKUP(L20,Tabulador!E$33:E$93,Tabulador!F$33:F$93)),0)</f>
        <v>(UN MIL DOSCIENTOS CINCUENTA  PESOS  00/100 M.N.)</v>
      </c>
      <c r="N20" s="17">
        <f t="shared" ca="1" si="5"/>
        <v>186.64383561643834</v>
      </c>
      <c r="O20" s="94" t="s">
        <v>27</v>
      </c>
      <c r="P20" s="50" t="s">
        <v>207</v>
      </c>
      <c r="Q20" s="166">
        <v>6.2</v>
      </c>
      <c r="R20" s="93" t="s">
        <v>881</v>
      </c>
      <c r="S20" s="93" t="s">
        <v>880</v>
      </c>
      <c r="T20" s="128" t="s">
        <v>212</v>
      </c>
      <c r="U20" s="128" t="s">
        <v>227</v>
      </c>
      <c r="V20" s="106" t="s">
        <v>247</v>
      </c>
      <c r="W20" s="105" t="s">
        <v>248</v>
      </c>
      <c r="X20" s="137" t="s">
        <v>250</v>
      </c>
      <c r="Y20" s="178">
        <v>52068711341</v>
      </c>
      <c r="Z20" s="140" t="s">
        <v>809</v>
      </c>
      <c r="AA20" s="6" t="s">
        <v>810</v>
      </c>
      <c r="AB20" s="6" t="s">
        <v>253</v>
      </c>
      <c r="AD20" s="14">
        <v>32104</v>
      </c>
      <c r="AE20" s="52"/>
      <c r="AF20" s="160">
        <f t="shared" si="6"/>
        <v>23</v>
      </c>
      <c r="AG20" s="160">
        <f t="shared" si="7"/>
        <v>11</v>
      </c>
      <c r="AH20" s="109">
        <v>28</v>
      </c>
      <c r="AI20" s="61"/>
      <c r="AJ20" s="6" t="s">
        <v>811</v>
      </c>
      <c r="AK20" s="6" t="s">
        <v>812</v>
      </c>
      <c r="AL20" s="6" t="s">
        <v>813</v>
      </c>
      <c r="AM20" s="6" t="s">
        <v>381</v>
      </c>
      <c r="AN20" s="6" t="s">
        <v>257</v>
      </c>
      <c r="AO20" s="6" t="s">
        <v>253</v>
      </c>
      <c r="AP20" s="178">
        <v>28149</v>
      </c>
      <c r="AQ20" s="160">
        <v>3244651</v>
      </c>
      <c r="AR20" s="175">
        <v>3131190982</v>
      </c>
      <c r="AS20" s="8"/>
      <c r="AT20" s="98"/>
      <c r="AU20" s="6" t="s">
        <v>266</v>
      </c>
      <c r="AW20" s="96"/>
      <c r="AX20" s="1" t="s">
        <v>261</v>
      </c>
      <c r="AY20" s="51"/>
      <c r="AZ20" s="16"/>
      <c r="BA20" s="16"/>
      <c r="BB20" s="16"/>
      <c r="BC20" s="16"/>
      <c r="BD20" s="178"/>
      <c r="BE20" s="51"/>
      <c r="BF20" s="16"/>
      <c r="BG20" s="16"/>
      <c r="BH20" s="16"/>
      <c r="BI20" s="16"/>
      <c r="BJ20" s="156"/>
      <c r="BK20" s="67"/>
      <c r="BL20" s="7"/>
      <c r="BM20" s="66" t="s">
        <v>72</v>
      </c>
    </row>
    <row r="21" spans="1:127" s="6" customFormat="1" x14ac:dyDescent="0.2">
      <c r="A21" s="170">
        <v>102</v>
      </c>
      <c r="B21" s="139">
        <v>40535</v>
      </c>
      <c r="C21" s="175">
        <f t="shared" si="0"/>
        <v>23</v>
      </c>
      <c r="D21" s="175">
        <f t="shared" si="1"/>
        <v>12</v>
      </c>
      <c r="E21" s="16" t="str">
        <f>+LOOKUP(D21,'Factor Integración'!$L$4:$L$15,'Factor Integración'!$M$4:$M$15)</f>
        <v>Diciembre</v>
      </c>
      <c r="F21" s="175">
        <f t="shared" si="2"/>
        <v>2010</v>
      </c>
      <c r="G21" s="112" t="s">
        <v>110</v>
      </c>
      <c r="H21" s="182">
        <f>+IF(Q21&gt;0,(LOOKUP(Q21,Tabulador!C$34:C$93,Tabulador!D$34:D$93)/7),0)</f>
        <v>185.64285714285714</v>
      </c>
      <c r="I21" s="40">
        <f t="shared" ca="1" si="3"/>
        <v>42361</v>
      </c>
      <c r="J21" s="42">
        <f t="shared" ca="1" si="4"/>
        <v>5</v>
      </c>
      <c r="K21" s="38">
        <f ca="1">+IF(J21&gt;0,(LOOKUP(J21,'Factor Integración'!C$5:C$44,'Factor Integración'!G$5:G$44)),'Factor Integración'!$G$5)</f>
        <v>1.0506849315068492</v>
      </c>
      <c r="L21" s="125">
        <f>+IF(Q21&lt;&gt;0,LOOKUP(Q21,Tabulador!C$33:C$93,Tabulador!D$33:D$93),0)</f>
        <v>1299.5</v>
      </c>
      <c r="M21" s="127" t="str">
        <f>+IF(L21&gt;0,(LOOKUP(L21,Tabulador!E$33:E$93,Tabulador!F$33:F$93)),0)</f>
        <v>(UN MIL DOSCIENTOS CINCUENTA  PESOS  00/100 M.N.)</v>
      </c>
      <c r="N21" s="17">
        <f t="shared" ca="1" si="5"/>
        <v>195.05215264187865</v>
      </c>
      <c r="O21" s="94" t="s">
        <v>27</v>
      </c>
      <c r="P21" s="50" t="s">
        <v>207</v>
      </c>
      <c r="Q21" s="166">
        <v>6.3</v>
      </c>
      <c r="R21" s="143" t="s">
        <v>149</v>
      </c>
      <c r="S21" s="93" t="s">
        <v>879</v>
      </c>
      <c r="T21" s="128" t="s">
        <v>211</v>
      </c>
      <c r="U21" s="128" t="s">
        <v>225</v>
      </c>
      <c r="V21" s="106" t="s">
        <v>247</v>
      </c>
      <c r="W21" s="105" t="s">
        <v>248</v>
      </c>
      <c r="X21" s="137" t="s">
        <v>298</v>
      </c>
      <c r="Y21" s="178">
        <v>52985800672</v>
      </c>
      <c r="Z21" s="103" t="s">
        <v>372</v>
      </c>
      <c r="AA21" s="6" t="s">
        <v>373</v>
      </c>
      <c r="AB21" s="6" t="s">
        <v>253</v>
      </c>
      <c r="AD21" s="14">
        <v>21343</v>
      </c>
      <c r="AE21" s="52"/>
      <c r="AF21" s="160">
        <f t="shared" si="6"/>
        <v>7</v>
      </c>
      <c r="AG21" s="160">
        <f t="shared" si="7"/>
        <v>6</v>
      </c>
      <c r="AH21" s="109">
        <v>57</v>
      </c>
      <c r="AI21" s="61"/>
      <c r="AJ21" s="6" t="s">
        <v>374</v>
      </c>
      <c r="AK21" s="6" t="s">
        <v>375</v>
      </c>
      <c r="AL21" s="6" t="s">
        <v>915</v>
      </c>
      <c r="AM21" s="6" t="s">
        <v>337</v>
      </c>
      <c r="AN21" s="6" t="s">
        <v>285</v>
      </c>
      <c r="AO21" s="6" t="s">
        <v>253</v>
      </c>
      <c r="AP21" s="178">
        <v>28100</v>
      </c>
      <c r="AQ21" s="160"/>
      <c r="AR21" s="175"/>
      <c r="AS21" s="8"/>
      <c r="AT21" s="98"/>
      <c r="AU21" s="6" t="s">
        <v>258</v>
      </c>
      <c r="AV21" s="6" t="s">
        <v>376</v>
      </c>
      <c r="AW21" s="96"/>
      <c r="AX21" s="1" t="s">
        <v>261</v>
      </c>
      <c r="AY21" s="51"/>
      <c r="AZ21" s="16"/>
      <c r="BA21" s="16"/>
      <c r="BB21" s="16"/>
      <c r="BC21" s="16"/>
      <c r="BD21" s="178"/>
      <c r="BE21" s="51"/>
      <c r="BF21" s="16"/>
      <c r="BG21" s="16"/>
      <c r="BH21" s="16"/>
      <c r="BI21" s="16"/>
      <c r="BJ21" s="156"/>
      <c r="BK21" s="67"/>
      <c r="BL21" s="7"/>
      <c r="BM21" s="66" t="s">
        <v>72</v>
      </c>
    </row>
    <row r="22" spans="1:127" s="6" customFormat="1" x14ac:dyDescent="0.2">
      <c r="A22" s="170">
        <v>103</v>
      </c>
      <c r="B22" s="139">
        <v>40637</v>
      </c>
      <c r="C22" s="175">
        <f t="shared" si="0"/>
        <v>4</v>
      </c>
      <c r="D22" s="175">
        <f t="shared" si="1"/>
        <v>4</v>
      </c>
      <c r="E22" s="16" t="str">
        <f>+LOOKUP(D22,'Factor Integración'!$L$4:$L$15,'Factor Integración'!$M$4:$M$15)</f>
        <v>Abril</v>
      </c>
      <c r="F22" s="175">
        <f t="shared" si="2"/>
        <v>2011</v>
      </c>
      <c r="G22" s="113" t="s">
        <v>111</v>
      </c>
      <c r="H22" s="182">
        <f>+IF(Q22&gt;0,(LOOKUP(Q22,Tabulador!C$34:C$93,Tabulador!D$34:D$93)/7),0)</f>
        <v>242.78571428571428</v>
      </c>
      <c r="I22" s="40">
        <f t="shared" ca="1" si="3"/>
        <v>42464</v>
      </c>
      <c r="J22" s="42">
        <f t="shared" ca="1" si="4"/>
        <v>5</v>
      </c>
      <c r="K22" s="38">
        <f ca="1">+IF(J22&gt;0,(LOOKUP(J22,'Factor Integración'!C$5:C$44,'Factor Integración'!G$5:G$44)),'Factor Integración'!$G$5)</f>
        <v>1.0506849315068492</v>
      </c>
      <c r="L22" s="125">
        <f>+IF(Q22&lt;&gt;0,LOOKUP(Q22,Tabulador!C$33:C$93,Tabulador!D$33:D$93),0)</f>
        <v>1699.5</v>
      </c>
      <c r="M22" s="127" t="str">
        <f>+IF(L22&gt;0,(LOOKUP(L22,Tabulador!E$33:E$93,Tabulador!F$33:F$93)),0)</f>
        <v>(UN MIL SEISCIENTOS CINCUENTA  PESOS  00/100 M.N.)</v>
      </c>
      <c r="N22" s="17">
        <f t="shared" ca="1" si="5"/>
        <v>255.09129158512715</v>
      </c>
      <c r="O22" s="95" t="s">
        <v>27</v>
      </c>
      <c r="P22" s="50" t="s">
        <v>207</v>
      </c>
      <c r="Q22" s="166">
        <v>8.3000000000000007</v>
      </c>
      <c r="R22" s="143" t="s">
        <v>149</v>
      </c>
      <c r="S22" s="93" t="s">
        <v>879</v>
      </c>
      <c r="T22" s="129" t="s">
        <v>210</v>
      </c>
      <c r="U22" s="129" t="s">
        <v>224</v>
      </c>
      <c r="V22" s="106" t="s">
        <v>247</v>
      </c>
      <c r="W22" s="105" t="s">
        <v>248</v>
      </c>
      <c r="X22" s="137" t="s">
        <v>250</v>
      </c>
      <c r="Y22" s="178">
        <v>52088801627</v>
      </c>
      <c r="Z22" s="102" t="s">
        <v>584</v>
      </c>
      <c r="AA22" s="6" t="s">
        <v>585</v>
      </c>
      <c r="AB22" s="6" t="s">
        <v>253</v>
      </c>
      <c r="AD22" s="14">
        <v>32157</v>
      </c>
      <c r="AE22" s="52"/>
      <c r="AF22" s="160">
        <f t="shared" si="6"/>
        <v>15</v>
      </c>
      <c r="AG22" s="160">
        <f t="shared" si="7"/>
        <v>1</v>
      </c>
      <c r="AH22" s="109">
        <v>27</v>
      </c>
      <c r="AI22" s="61"/>
      <c r="AJ22" s="6" t="s">
        <v>586</v>
      </c>
      <c r="AK22" s="6" t="s">
        <v>587</v>
      </c>
      <c r="AL22" s="6" t="s">
        <v>910</v>
      </c>
      <c r="AM22" s="6" t="s">
        <v>311</v>
      </c>
      <c r="AN22" s="6" t="s">
        <v>257</v>
      </c>
      <c r="AO22" s="6" t="s">
        <v>253</v>
      </c>
      <c r="AP22" s="178"/>
      <c r="AQ22" s="160"/>
      <c r="AR22" s="175">
        <v>3131180441</v>
      </c>
      <c r="AS22" s="8"/>
      <c r="AT22" s="99"/>
      <c r="AU22" s="6" t="s">
        <v>258</v>
      </c>
      <c r="AV22" s="6" t="s">
        <v>588</v>
      </c>
      <c r="AW22" s="96"/>
      <c r="AX22" s="1" t="s">
        <v>261</v>
      </c>
      <c r="AY22" s="51"/>
      <c r="AZ22" s="16"/>
      <c r="BA22" s="16"/>
      <c r="BB22" s="16"/>
      <c r="BC22" s="16"/>
      <c r="BD22" s="178"/>
      <c r="BE22" s="51"/>
      <c r="BF22" s="16"/>
      <c r="BG22" s="16"/>
      <c r="BH22" s="16"/>
      <c r="BI22" s="16"/>
      <c r="BJ22" s="156"/>
      <c r="BK22" s="67"/>
      <c r="BL22" s="7"/>
      <c r="BM22" s="66" t="s">
        <v>72</v>
      </c>
    </row>
    <row r="23" spans="1:127" s="6" customFormat="1" x14ac:dyDescent="0.2">
      <c r="A23" s="170">
        <v>104</v>
      </c>
      <c r="B23" s="139">
        <v>40966</v>
      </c>
      <c r="C23" s="175">
        <f t="shared" ref="C23" si="8">+DAY(B23)</f>
        <v>27</v>
      </c>
      <c r="D23" s="175">
        <f t="shared" ref="D23" si="9">+MONTH(B23)</f>
        <v>2</v>
      </c>
      <c r="E23" s="16" t="str">
        <f>+LOOKUP(D23,'Factor Integración'!$L$4:$L$15,'Factor Integración'!$M$4:$M$15)</f>
        <v>Febrero</v>
      </c>
      <c r="F23" s="175">
        <f t="shared" ref="F23" si="10">+YEAR(B23)</f>
        <v>2012</v>
      </c>
      <c r="G23" s="112" t="s">
        <v>112</v>
      </c>
      <c r="H23" s="182">
        <f>+IF(Q23&gt;0,(LOOKUP(Q23,Tabulador!C$34:C$93,Tabulador!D$34:D$93)/7),0)</f>
        <v>285.71428571428572</v>
      </c>
      <c r="I23" s="40">
        <f t="shared" ca="1" si="3"/>
        <v>42427</v>
      </c>
      <c r="J23" s="42">
        <f t="shared" ca="1" si="4"/>
        <v>4</v>
      </c>
      <c r="K23" s="38">
        <f ca="1">+IF(J23&gt;0,(LOOKUP(J23,'Factor Integración'!C$5:C$44,'Factor Integración'!G$5:G$44)),'Factor Integración'!$G$5)</f>
        <v>1.0493150684931507</v>
      </c>
      <c r="L23" s="125">
        <f>+IF(Q23&lt;&gt;0,LOOKUP(Q23,Tabulador!C$33:C$93,Tabulador!D$33:D$93),0)</f>
        <v>2000</v>
      </c>
      <c r="M23" s="127" t="str">
        <f>+IF(L23&gt;0,(LOOKUP(L23,Tabulador!E$33:E$93,Tabulador!F$33:F$93)),0)</f>
        <v>(DOS MIL  PESOS  00/100 M.N.)</v>
      </c>
      <c r="N23" s="17">
        <f t="shared" ca="1" si="5"/>
        <v>299.80430528375734</v>
      </c>
      <c r="O23" s="94" t="s">
        <v>27</v>
      </c>
      <c r="P23" s="50" t="s">
        <v>207</v>
      </c>
      <c r="Q23" s="166">
        <v>9.1</v>
      </c>
      <c r="R23" s="143" t="s">
        <v>149</v>
      </c>
      <c r="S23" s="93" t="s">
        <v>879</v>
      </c>
      <c r="T23" s="128" t="s">
        <v>219</v>
      </c>
      <c r="U23" s="128" t="s">
        <v>219</v>
      </c>
      <c r="V23" s="106" t="s">
        <v>247</v>
      </c>
      <c r="W23" s="105" t="s">
        <v>248</v>
      </c>
      <c r="X23" s="137" t="s">
        <v>250</v>
      </c>
      <c r="Y23" s="178">
        <v>52108701088</v>
      </c>
      <c r="Z23" s="103" t="s">
        <v>738</v>
      </c>
      <c r="AA23" s="6" t="s">
        <v>739</v>
      </c>
      <c r="AB23" s="6" t="s">
        <v>253</v>
      </c>
      <c r="AD23" s="14">
        <v>32101</v>
      </c>
      <c r="AE23" s="52"/>
      <c r="AF23" s="160">
        <f t="shared" si="6"/>
        <v>20</v>
      </c>
      <c r="AG23" s="160">
        <f t="shared" si="7"/>
        <v>11</v>
      </c>
      <c r="AH23" s="109">
        <v>28</v>
      </c>
      <c r="AI23" s="61"/>
      <c r="AJ23" s="6" t="s">
        <v>740</v>
      </c>
      <c r="AK23" s="6" t="s">
        <v>741</v>
      </c>
      <c r="AL23" s="6" t="s">
        <v>887</v>
      </c>
      <c r="AM23" s="6" t="s">
        <v>278</v>
      </c>
      <c r="AN23" s="6" t="s">
        <v>257</v>
      </c>
      <c r="AO23" s="6" t="s">
        <v>253</v>
      </c>
      <c r="AP23" s="178">
        <v>28140</v>
      </c>
      <c r="AQ23" s="160"/>
      <c r="AR23" s="175">
        <v>3131354748</v>
      </c>
      <c r="AS23" s="8"/>
      <c r="AT23" s="98"/>
      <c r="AU23" s="6" t="s">
        <v>258</v>
      </c>
      <c r="AV23" s="6" t="s">
        <v>743</v>
      </c>
      <c r="AW23" s="96"/>
      <c r="AX23" s="1" t="s">
        <v>261</v>
      </c>
      <c r="AY23" s="51"/>
      <c r="AZ23" s="16"/>
      <c r="BA23" s="16"/>
      <c r="BB23" s="16"/>
      <c r="BC23" s="16"/>
      <c r="BD23" s="178"/>
      <c r="BE23" s="51"/>
      <c r="BF23" s="16"/>
      <c r="BG23" s="16"/>
      <c r="BH23" s="16"/>
      <c r="BI23" s="16"/>
      <c r="BJ23" s="156"/>
      <c r="BK23" s="67"/>
      <c r="BL23" s="7"/>
      <c r="BM23" s="66" t="s">
        <v>72</v>
      </c>
    </row>
    <row r="24" spans="1:127" x14ac:dyDescent="0.2">
      <c r="A24" s="169">
        <v>112</v>
      </c>
      <c r="B24" s="139">
        <v>41099</v>
      </c>
      <c r="C24" s="175">
        <f t="shared" ref="C24" si="11">+DAY(B24)</f>
        <v>9</v>
      </c>
      <c r="D24" s="175">
        <f t="shared" ref="D24" si="12">+MONTH(B24)</f>
        <v>7</v>
      </c>
      <c r="E24" s="16" t="str">
        <f>+LOOKUP(D24,'Factor Integración'!$L$4:$L$15,'Factor Integración'!$M$4:$M$15)</f>
        <v>Julio</v>
      </c>
      <c r="F24" s="175">
        <f t="shared" ref="F24" si="13">+YEAR(B24)</f>
        <v>2012</v>
      </c>
      <c r="G24" s="119" t="s">
        <v>113</v>
      </c>
      <c r="H24" s="182">
        <f>+IF(Q24&gt;0,(LOOKUP(Q24,Tabulador!C$34:C$93,Tabulador!D$34:D$93)/7),0)</f>
        <v>228.57142857142858</v>
      </c>
      <c r="I24" s="40">
        <f t="shared" ca="1" si="3"/>
        <v>42560</v>
      </c>
      <c r="J24" s="42">
        <f t="shared" ca="1" si="4"/>
        <v>4</v>
      </c>
      <c r="K24" s="38">
        <f ca="1">+IF(J24&gt;0,(LOOKUP(J24,'Factor Integración'!C$5:C$44,'Factor Integración'!G$5:G$44)),'Factor Integración'!$G$5)</f>
        <v>1.0493150684931507</v>
      </c>
      <c r="L24" s="125">
        <f>+IF(Q24&lt;&gt;0,LOOKUP(Q24,Tabulador!C$33:C$93,Tabulador!D$33:D$93),0)</f>
        <v>1600</v>
      </c>
      <c r="M24" s="127" t="str">
        <f>+IF(L24&gt;0,(LOOKUP(L24,Tabulador!E$33:E$93,Tabulador!F$33:F$93)),0)</f>
        <v>(UN MIL SEISCIENTOS  PESOS  00/100 M.N.)</v>
      </c>
      <c r="N24" s="17">
        <f t="shared" ca="1" si="5"/>
        <v>239.84344422700588</v>
      </c>
      <c r="O24" s="94" t="s">
        <v>27</v>
      </c>
      <c r="P24" s="50" t="s">
        <v>207</v>
      </c>
      <c r="Q24" s="166">
        <v>8.1</v>
      </c>
      <c r="R24" s="143" t="s">
        <v>149</v>
      </c>
      <c r="S24" s="93" t="s">
        <v>879</v>
      </c>
      <c r="T24" s="128" t="s">
        <v>214</v>
      </c>
      <c r="U24" s="128" t="s">
        <v>225</v>
      </c>
      <c r="V24" s="106" t="s">
        <v>247</v>
      </c>
      <c r="W24" s="105" t="s">
        <v>248</v>
      </c>
      <c r="X24" s="137" t="s">
        <v>250</v>
      </c>
      <c r="Y24" s="178">
        <v>52048409941</v>
      </c>
      <c r="Z24" s="103" t="s">
        <v>313</v>
      </c>
      <c r="AA24" s="6" t="s">
        <v>314</v>
      </c>
      <c r="AB24" s="6" t="s">
        <v>253</v>
      </c>
      <c r="AC24" s="6"/>
      <c r="AD24" s="14">
        <v>30971</v>
      </c>
      <c r="AE24" s="52"/>
      <c r="AF24" s="160">
        <f t="shared" si="6"/>
        <v>16</v>
      </c>
      <c r="AG24" s="160">
        <f t="shared" si="7"/>
        <v>10</v>
      </c>
      <c r="AH24" s="109">
        <v>31</v>
      </c>
      <c r="AI24" s="61"/>
      <c r="AJ24" s="6" t="s">
        <v>315</v>
      </c>
      <c r="AK24" s="6" t="s">
        <v>316</v>
      </c>
      <c r="AL24" s="6" t="s">
        <v>317</v>
      </c>
      <c r="AM24" s="6" t="s">
        <v>311</v>
      </c>
      <c r="AN24" s="6" t="s">
        <v>257</v>
      </c>
      <c r="AO24" s="6" t="s">
        <v>253</v>
      </c>
      <c r="AP24" s="178">
        <v>28134</v>
      </c>
      <c r="AQ24" s="160"/>
      <c r="AR24" s="175">
        <v>3131121257</v>
      </c>
      <c r="AS24" s="8"/>
      <c r="AT24" s="98"/>
      <c r="AU24" s="6" t="s">
        <v>258</v>
      </c>
      <c r="AV24" s="6" t="s">
        <v>318</v>
      </c>
      <c r="AW24" s="96"/>
      <c r="AX24" s="1" t="s">
        <v>261</v>
      </c>
      <c r="AY24" s="51"/>
      <c r="AZ24" s="16"/>
      <c r="BA24" s="16"/>
      <c r="BB24" s="16"/>
      <c r="BC24" s="16"/>
      <c r="BD24" s="178"/>
      <c r="BE24" s="51"/>
      <c r="BF24" s="16"/>
      <c r="BG24" s="16"/>
      <c r="BH24" s="16"/>
      <c r="BI24" s="16"/>
      <c r="BJ24" s="156"/>
      <c r="BK24" s="67"/>
      <c r="BL24" s="7"/>
      <c r="BM24" s="66" t="s">
        <v>72</v>
      </c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</row>
    <row r="25" spans="1:127" x14ac:dyDescent="0.2">
      <c r="A25" s="170">
        <v>113</v>
      </c>
      <c r="B25" s="139">
        <v>41107</v>
      </c>
      <c r="C25" s="175">
        <f t="shared" ref="C25" si="14">+DAY(B25)</f>
        <v>17</v>
      </c>
      <c r="D25" s="175">
        <f t="shared" ref="D25" si="15">+MONTH(B25)</f>
        <v>7</v>
      </c>
      <c r="E25" s="16" t="str">
        <f>+LOOKUP(D25,'Factor Integración'!$L$4:$L$15,'Factor Integración'!$M$4:$M$15)</f>
        <v>Julio</v>
      </c>
      <c r="F25" s="175">
        <f t="shared" ref="F25" si="16">+YEAR(B25)</f>
        <v>2012</v>
      </c>
      <c r="G25" s="112" t="s">
        <v>114</v>
      </c>
      <c r="H25" s="182">
        <f>+IF(Q25&gt;0,(LOOKUP(Q25,Tabulador!C$34:C$93,Tabulador!D$34:D$93)/7),0)</f>
        <v>214.21428571428572</v>
      </c>
      <c r="I25" s="40">
        <f t="shared" ca="1" si="3"/>
        <v>42202</v>
      </c>
      <c r="J25" s="42">
        <f t="shared" ca="1" si="4"/>
        <v>3</v>
      </c>
      <c r="K25" s="38">
        <f ca="1">+IF(J25&gt;0,(LOOKUP(J25,'Factor Integración'!C$5:C$44,'Factor Integración'!G$5:G$44)),'Factor Integración'!$G$5)</f>
        <v>1.047945205479452</v>
      </c>
      <c r="L25" s="125">
        <f>+IF(Q25&lt;&gt;0,LOOKUP(Q25,Tabulador!C$33:C$93,Tabulador!D$33:D$93),0)</f>
        <v>1499.5</v>
      </c>
      <c r="M25" s="127" t="str">
        <f>+IF(L25&gt;0,(LOOKUP(L25,Tabulador!E$33:E$93,Tabulador!F$33:F$93)),0)</f>
        <v>(UN MIL CUATROCIENTOS CINCUENTA  PESOS  00/100 M.N.)</v>
      </c>
      <c r="N25" s="17">
        <f t="shared" ca="1" si="5"/>
        <v>224.48483365949119</v>
      </c>
      <c r="O25" s="59" t="s">
        <v>27</v>
      </c>
      <c r="P25" s="50" t="s">
        <v>207</v>
      </c>
      <c r="Q25" s="166">
        <v>7.3</v>
      </c>
      <c r="R25" s="93" t="s">
        <v>885</v>
      </c>
      <c r="S25" s="93" t="s">
        <v>886</v>
      </c>
      <c r="T25" s="128" t="s">
        <v>215</v>
      </c>
      <c r="U25" s="128" t="s">
        <v>684</v>
      </c>
      <c r="V25" s="106" t="s">
        <v>247</v>
      </c>
      <c r="W25" s="105" t="s">
        <v>248</v>
      </c>
      <c r="X25" s="138" t="s">
        <v>250</v>
      </c>
      <c r="Y25" s="180" t="s">
        <v>691</v>
      </c>
      <c r="Z25" s="2" t="s">
        <v>680</v>
      </c>
      <c r="AA25" s="2" t="s">
        <v>681</v>
      </c>
      <c r="AB25" s="2" t="s">
        <v>253</v>
      </c>
      <c r="AD25" s="15">
        <v>32046</v>
      </c>
      <c r="AF25" s="160">
        <f t="shared" si="6"/>
        <v>26</v>
      </c>
      <c r="AG25" s="160">
        <f t="shared" si="7"/>
        <v>9</v>
      </c>
      <c r="AH25" s="109">
        <v>28</v>
      </c>
      <c r="AJ25" s="2" t="s">
        <v>682</v>
      </c>
      <c r="AK25" s="2" t="s">
        <v>683</v>
      </c>
      <c r="AL25" s="2" t="s">
        <v>914</v>
      </c>
      <c r="AM25" s="2" t="s">
        <v>337</v>
      </c>
      <c r="AN25" s="2" t="s">
        <v>257</v>
      </c>
      <c r="AO25" s="6" t="s">
        <v>253</v>
      </c>
      <c r="AP25" s="180">
        <v>28100</v>
      </c>
      <c r="AQ25" s="162">
        <v>3241000</v>
      </c>
      <c r="AR25" s="176">
        <v>3131022793</v>
      </c>
      <c r="AU25" s="2" t="s">
        <v>266</v>
      </c>
      <c r="AX25" s="1" t="s">
        <v>261</v>
      </c>
    </row>
    <row r="26" spans="1:127" x14ac:dyDescent="0.2">
      <c r="A26" s="170">
        <v>122</v>
      </c>
      <c r="B26" s="139">
        <v>40812</v>
      </c>
      <c r="C26" s="175">
        <f t="shared" ref="C26:C29" si="17">+DAY(B26)</f>
        <v>26</v>
      </c>
      <c r="D26" s="175">
        <f t="shared" ref="D26:D29" si="18">+MONTH(B26)</f>
        <v>9</v>
      </c>
      <c r="E26" s="16" t="str">
        <f>+LOOKUP(D26,'Factor Integración'!$L$4:$L$15,'Factor Integración'!$M$4:$M$15)</f>
        <v>Septiembre</v>
      </c>
      <c r="F26" s="175">
        <f t="shared" ref="F26:F29" si="19">+YEAR(B26)</f>
        <v>2011</v>
      </c>
      <c r="G26" s="112" t="s">
        <v>115</v>
      </c>
      <c r="H26" s="182">
        <f>+IF(Q26&gt;0,(LOOKUP(Q26,Tabulador!C$34:C$93,Tabulador!D$34:D$93)/7),0)</f>
        <v>178.57142857142858</v>
      </c>
      <c r="I26" s="40">
        <f t="shared" ca="1" si="3"/>
        <v>42273</v>
      </c>
      <c r="J26" s="42">
        <f t="shared" ca="1" si="4"/>
        <v>4</v>
      </c>
      <c r="K26" s="38">
        <f ca="1">+IF(J26&gt;0,(LOOKUP(J26,'Factor Integración'!C$5:C$44,'Factor Integración'!G$5:G$44)),'Factor Integración'!$G$5)</f>
        <v>1.0493150684931507</v>
      </c>
      <c r="L26" s="125">
        <f>+IF(Q26&lt;&gt;0,LOOKUP(Q26,Tabulador!C$33:C$93,Tabulador!D$33:D$93),0)</f>
        <v>1250</v>
      </c>
      <c r="M26" s="127" t="str">
        <f>+IF(L26&gt;0,(LOOKUP(L26,Tabulador!E$33:E$93,Tabulador!F$33:F$93)),0)</f>
        <v>(UN MIL DOSCIENTOS CINCUENTA  PESOS  00/100 M.N.)</v>
      </c>
      <c r="N26" s="17">
        <f t="shared" ca="1" si="5"/>
        <v>187.37769080234835</v>
      </c>
      <c r="O26" s="59" t="s">
        <v>27</v>
      </c>
      <c r="P26" s="50" t="s">
        <v>207</v>
      </c>
      <c r="Q26" s="166">
        <v>6.2</v>
      </c>
      <c r="R26" s="93" t="s">
        <v>881</v>
      </c>
      <c r="S26" s="93" t="s">
        <v>880</v>
      </c>
      <c r="T26" s="128" t="s">
        <v>213</v>
      </c>
      <c r="U26" s="128" t="s">
        <v>213</v>
      </c>
      <c r="V26" s="106" t="s">
        <v>247</v>
      </c>
      <c r="W26" s="105" t="s">
        <v>248</v>
      </c>
      <c r="X26" s="138" t="s">
        <v>250</v>
      </c>
      <c r="Y26" s="180">
        <v>52078805778</v>
      </c>
      <c r="Z26" s="2" t="s">
        <v>821</v>
      </c>
      <c r="AA26" s="2" t="s">
        <v>822</v>
      </c>
      <c r="AB26" s="2" t="s">
        <v>253</v>
      </c>
      <c r="AD26" s="15">
        <v>32412</v>
      </c>
      <c r="AF26" s="160">
        <f t="shared" si="6"/>
        <v>26</v>
      </c>
      <c r="AG26" s="160">
        <f t="shared" si="7"/>
        <v>9</v>
      </c>
      <c r="AH26" s="109">
        <v>27</v>
      </c>
      <c r="AJ26" s="2" t="s">
        <v>823</v>
      </c>
      <c r="AK26" s="2" t="s">
        <v>824</v>
      </c>
      <c r="AL26" s="2" t="s">
        <v>825</v>
      </c>
      <c r="AM26" s="2" t="s">
        <v>925</v>
      </c>
      <c r="AN26" s="2" t="s">
        <v>257</v>
      </c>
      <c r="AO26" s="6" t="s">
        <v>253</v>
      </c>
      <c r="AP26" s="180">
        <v>28935</v>
      </c>
      <c r="AR26" s="176">
        <v>3131350312</v>
      </c>
      <c r="AU26" s="2" t="s">
        <v>356</v>
      </c>
      <c r="AV26" s="2" t="s">
        <v>826</v>
      </c>
      <c r="AX26" s="1" t="s">
        <v>261</v>
      </c>
    </row>
    <row r="27" spans="1:127" x14ac:dyDescent="0.2">
      <c r="A27" s="170">
        <v>123</v>
      </c>
      <c r="B27" s="139">
        <v>40931</v>
      </c>
      <c r="C27" s="175">
        <f t="shared" si="17"/>
        <v>23</v>
      </c>
      <c r="D27" s="175">
        <f t="shared" si="18"/>
        <v>1</v>
      </c>
      <c r="E27" s="16" t="str">
        <f>+LOOKUP(D27,'Factor Integración'!$L$4:$L$15,'Factor Integración'!$M$4:$M$15)</f>
        <v>Enero</v>
      </c>
      <c r="F27" s="175">
        <f t="shared" si="19"/>
        <v>2012</v>
      </c>
      <c r="G27" s="112" t="s">
        <v>116</v>
      </c>
      <c r="H27" s="182">
        <f>+IF(Q27&gt;0,(LOOKUP(Q27,Tabulador!C$34:C$93,Tabulador!D$34:D$93)/7),0)</f>
        <v>285.71428571428572</v>
      </c>
      <c r="I27" s="40">
        <f t="shared" ca="1" si="3"/>
        <v>42392</v>
      </c>
      <c r="J27" s="42">
        <f t="shared" ca="1" si="4"/>
        <v>4</v>
      </c>
      <c r="K27" s="38">
        <f ca="1">+IF(J27&gt;0,(LOOKUP(J27,'Factor Integración'!C$5:C$44,'Factor Integración'!G$5:G$44)),'Factor Integración'!$G$5)</f>
        <v>1.0493150684931507</v>
      </c>
      <c r="L27" s="125">
        <f>+IF(Q27&lt;&gt;0,LOOKUP(Q27,Tabulador!C$33:C$93,Tabulador!D$33:D$93),0)</f>
        <v>2000</v>
      </c>
      <c r="M27" s="127" t="str">
        <f>+IF(L27&gt;0,(LOOKUP(L27,Tabulador!E$33:E$93,Tabulador!F$33:F$93)),0)</f>
        <v>(DOS MIL  PESOS  00/100 M.N.)</v>
      </c>
      <c r="N27" s="17">
        <f t="shared" ca="1" si="5"/>
        <v>299.80430528375734</v>
      </c>
      <c r="O27" s="59" t="s">
        <v>27</v>
      </c>
      <c r="P27" s="50" t="s">
        <v>207</v>
      </c>
      <c r="Q27" s="166">
        <v>9.1</v>
      </c>
      <c r="R27" s="93" t="s">
        <v>885</v>
      </c>
      <c r="S27" s="93" t="s">
        <v>886</v>
      </c>
      <c r="T27" s="128" t="s">
        <v>220</v>
      </c>
      <c r="U27" s="128" t="s">
        <v>225</v>
      </c>
      <c r="V27" s="106" t="s">
        <v>247</v>
      </c>
      <c r="W27" s="105" t="s">
        <v>248</v>
      </c>
      <c r="X27" s="138" t="s">
        <v>250</v>
      </c>
      <c r="Y27" s="180">
        <v>52967709297</v>
      </c>
      <c r="Z27" s="2" t="s">
        <v>846</v>
      </c>
      <c r="AA27" s="2" t="s">
        <v>847</v>
      </c>
      <c r="AB27" s="2" t="s">
        <v>253</v>
      </c>
      <c r="AD27" s="15">
        <v>28258</v>
      </c>
      <c r="AF27" s="160">
        <f t="shared" si="6"/>
        <v>13</v>
      </c>
      <c r="AG27" s="160">
        <f t="shared" si="7"/>
        <v>5</v>
      </c>
      <c r="AH27" s="109">
        <v>38</v>
      </c>
      <c r="AL27" s="2" t="s">
        <v>848</v>
      </c>
      <c r="AM27" s="2" t="s">
        <v>432</v>
      </c>
      <c r="AN27" s="2" t="s">
        <v>257</v>
      </c>
      <c r="AO27" s="6" t="s">
        <v>253</v>
      </c>
      <c r="AP27" s="180">
        <v>28120</v>
      </c>
      <c r="AQ27" s="162">
        <v>3252596</v>
      </c>
      <c r="AR27" s="176">
        <v>3131267906</v>
      </c>
      <c r="AU27" s="2" t="s">
        <v>266</v>
      </c>
      <c r="AX27" s="1" t="s">
        <v>261</v>
      </c>
    </row>
    <row r="28" spans="1:127" x14ac:dyDescent="0.2">
      <c r="A28" s="170">
        <v>124</v>
      </c>
      <c r="B28" s="139">
        <v>41011</v>
      </c>
      <c r="C28" s="175">
        <f t="shared" si="17"/>
        <v>12</v>
      </c>
      <c r="D28" s="175">
        <f t="shared" si="18"/>
        <v>4</v>
      </c>
      <c r="E28" s="16" t="str">
        <f>+LOOKUP(D28,'Factor Integración'!$L$4:$L$15,'Factor Integración'!$M$4:$M$15)</f>
        <v>Abril</v>
      </c>
      <c r="F28" s="175">
        <f t="shared" si="19"/>
        <v>2012</v>
      </c>
      <c r="G28" s="113" t="s">
        <v>117</v>
      </c>
      <c r="H28" s="182">
        <f>+IF(Q28&gt;0,(LOOKUP(Q28,Tabulador!C$34:C$93,Tabulador!D$34:D$93)/7),0)</f>
        <v>192.92500000000001</v>
      </c>
      <c r="I28" s="40">
        <f t="shared" ca="1" si="3"/>
        <v>42472</v>
      </c>
      <c r="J28" s="42">
        <f t="shared" ca="1" si="4"/>
        <v>4</v>
      </c>
      <c r="K28" s="38">
        <f ca="1">+IF(J28&gt;0,(LOOKUP(J28,'Factor Integración'!C$5:C$44,'Factor Integración'!G$5:G$44)),'Factor Integración'!$G$5)</f>
        <v>1.0493150684931507</v>
      </c>
      <c r="L28" s="125">
        <f>+IF(Q28&lt;&gt;0,LOOKUP(Q28,Tabulador!C$33:C$93,Tabulador!D$33:D$93),0)</f>
        <v>1350.4750000000001</v>
      </c>
      <c r="M28" s="127" t="str">
        <f>+IF(L28&gt;0,(LOOKUP(L28,Tabulador!E$33:E$93,Tabulador!F$33:F$93)),0)</f>
        <v>(UN MIL TRESCIENTOS CINCUENTA  PESOS  00/100 M.N.)</v>
      </c>
      <c r="N28" s="17">
        <f t="shared" ca="1" si="5"/>
        <v>202.43910958904112</v>
      </c>
      <c r="O28" s="59" t="s">
        <v>27</v>
      </c>
      <c r="P28" s="50" t="s">
        <v>207</v>
      </c>
      <c r="Q28" s="166">
        <v>6.4</v>
      </c>
      <c r="R28" s="143" t="s">
        <v>149</v>
      </c>
      <c r="S28" s="93" t="s">
        <v>879</v>
      </c>
      <c r="T28" s="129" t="s">
        <v>210</v>
      </c>
      <c r="U28" s="129" t="s">
        <v>226</v>
      </c>
      <c r="V28" s="106" t="s">
        <v>247</v>
      </c>
      <c r="W28" s="105" t="s">
        <v>248</v>
      </c>
      <c r="X28" s="138" t="s">
        <v>250</v>
      </c>
      <c r="Y28" s="180">
        <v>52957505432</v>
      </c>
      <c r="Z28" s="2" t="s">
        <v>562</v>
      </c>
      <c r="AA28" s="2" t="s">
        <v>563</v>
      </c>
      <c r="AB28" s="2" t="s">
        <v>253</v>
      </c>
      <c r="AD28" s="15">
        <v>27532</v>
      </c>
      <c r="AF28" s="160">
        <f t="shared" si="6"/>
        <v>18</v>
      </c>
      <c r="AG28" s="160">
        <f t="shared" si="7"/>
        <v>5</v>
      </c>
      <c r="AH28" s="110">
        <v>40</v>
      </c>
      <c r="AJ28" s="2" t="s">
        <v>564</v>
      </c>
      <c r="AK28" s="2" t="s">
        <v>565</v>
      </c>
      <c r="AL28" s="2" t="s">
        <v>566</v>
      </c>
      <c r="AM28" s="2" t="s">
        <v>567</v>
      </c>
      <c r="AN28" s="2" t="s">
        <v>285</v>
      </c>
      <c r="AO28" s="6" t="s">
        <v>253</v>
      </c>
      <c r="AP28" s="180">
        <v>28190</v>
      </c>
      <c r="AR28" s="176">
        <v>3131008652</v>
      </c>
      <c r="AU28" s="2" t="s">
        <v>258</v>
      </c>
      <c r="AV28" s="2" t="s">
        <v>72</v>
      </c>
      <c r="AX28" s="1" t="s">
        <v>261</v>
      </c>
    </row>
    <row r="29" spans="1:127" x14ac:dyDescent="0.2">
      <c r="A29" s="170">
        <v>139</v>
      </c>
      <c r="B29" s="139">
        <v>40737</v>
      </c>
      <c r="C29" s="176">
        <f t="shared" si="17"/>
        <v>13</v>
      </c>
      <c r="D29" s="176">
        <f t="shared" si="18"/>
        <v>7</v>
      </c>
      <c r="E29" s="16" t="str">
        <f>+LOOKUP(D29,'Factor Integración'!$L$4:$L$15,'Factor Integración'!$M$4:$M$15)</f>
        <v>Julio</v>
      </c>
      <c r="F29" s="176">
        <f t="shared" si="19"/>
        <v>2011</v>
      </c>
      <c r="G29" s="112" t="s">
        <v>118</v>
      </c>
      <c r="H29" s="182">
        <f>+IF(Q29&gt;0,(LOOKUP(Q29,Tabulador!C$34:C$93,Tabulador!D$34:D$93)/7),0)</f>
        <v>200</v>
      </c>
      <c r="I29" s="40">
        <f t="shared" ca="1" si="3"/>
        <v>42564</v>
      </c>
      <c r="J29" s="42">
        <f t="shared" ca="1" si="4"/>
        <v>5</v>
      </c>
      <c r="K29" s="38">
        <f ca="1">+IF(J29&gt;0,(LOOKUP(J29,'Factor Integración'!C$5:C$44,'Factor Integración'!G$5:G$44)),'Factor Integración'!$G$5)</f>
        <v>1.0506849315068492</v>
      </c>
      <c r="L29" s="125">
        <f>+IF(Q29&lt;&gt;0,LOOKUP(Q29,Tabulador!C$33:C$93,Tabulador!D$33:D$93),0)</f>
        <v>1400</v>
      </c>
      <c r="M29" s="127" t="str">
        <f>+IF(L29&gt;0,(LOOKUP(L29,Tabulador!E$33:E$93,Tabulador!F$33:F$93)),0)</f>
        <v>(UN MIL CUATROCIENTOS  PESOS  00/100 M.N.)</v>
      </c>
      <c r="N29" s="17">
        <f t="shared" ca="1" si="5"/>
        <v>210.13698630136983</v>
      </c>
      <c r="O29" s="59" t="s">
        <v>27</v>
      </c>
      <c r="P29" s="50" t="s">
        <v>207</v>
      </c>
      <c r="Q29" s="161">
        <v>7.1</v>
      </c>
      <c r="R29" s="143" t="s">
        <v>149</v>
      </c>
      <c r="S29" s="93" t="s">
        <v>879</v>
      </c>
      <c r="T29" s="128" t="s">
        <v>214</v>
      </c>
      <c r="U29" s="128" t="s">
        <v>225</v>
      </c>
      <c r="V29" s="1" t="s">
        <v>247</v>
      </c>
      <c r="W29" s="105" t="s">
        <v>248</v>
      </c>
      <c r="X29" s="138" t="s">
        <v>298</v>
      </c>
      <c r="Y29" s="180">
        <v>52129309184</v>
      </c>
      <c r="Z29" s="2" t="s">
        <v>339</v>
      </c>
      <c r="AA29" s="2" t="s">
        <v>340</v>
      </c>
      <c r="AB29" s="2" t="s">
        <v>253</v>
      </c>
      <c r="AD29" s="15">
        <v>34093</v>
      </c>
      <c r="AF29" s="160">
        <f t="shared" si="6"/>
        <v>4</v>
      </c>
      <c r="AG29" s="160">
        <f t="shared" si="7"/>
        <v>5</v>
      </c>
      <c r="AH29" s="110">
        <v>22</v>
      </c>
      <c r="AJ29" s="2" t="s">
        <v>341</v>
      </c>
      <c r="AK29" s="2" t="s">
        <v>342</v>
      </c>
      <c r="AL29" s="2" t="s">
        <v>928</v>
      </c>
      <c r="AM29" s="2" t="s">
        <v>348</v>
      </c>
      <c r="AN29" s="2" t="s">
        <v>285</v>
      </c>
      <c r="AO29" s="2" t="s">
        <v>253</v>
      </c>
      <c r="AP29" s="180">
        <v>28130</v>
      </c>
      <c r="AQ29" s="162">
        <v>3265788</v>
      </c>
      <c r="AU29" s="2" t="s">
        <v>266</v>
      </c>
      <c r="AX29" s="1" t="s">
        <v>261</v>
      </c>
    </row>
    <row r="30" spans="1:127" x14ac:dyDescent="0.2">
      <c r="A30" s="170">
        <v>143</v>
      </c>
      <c r="B30" s="139">
        <v>41297</v>
      </c>
      <c r="C30" s="176">
        <f t="shared" ref="C30:C93" si="20">+DAY(B30)</f>
        <v>23</v>
      </c>
      <c r="D30" s="176">
        <f t="shared" ref="D30:D93" si="21">+MONTH(B30)</f>
        <v>1</v>
      </c>
      <c r="E30" s="16" t="str">
        <f>+LOOKUP(D30,'Factor Integración'!$L$4:$L$15,'Factor Integración'!$M$4:$M$15)</f>
        <v>Enero</v>
      </c>
      <c r="F30" s="176">
        <f t="shared" ref="F30:F93" si="22">+YEAR(B30)</f>
        <v>2013</v>
      </c>
      <c r="G30" s="112" t="s">
        <v>119</v>
      </c>
      <c r="H30" s="182">
        <f>+IF(Q30&gt;0,(LOOKUP(Q30,Tabulador!C$34:C$93,Tabulador!D$34:D$93)/7),0)</f>
        <v>285.71428571428572</v>
      </c>
      <c r="I30" s="40">
        <f t="shared" ca="1" si="3"/>
        <v>42392</v>
      </c>
      <c r="J30" s="42">
        <f t="shared" ca="1" si="4"/>
        <v>3</v>
      </c>
      <c r="K30" s="38">
        <f ca="1">+IF(J30&gt;0,(LOOKUP(J30,'Factor Integración'!C$5:C$44,'Factor Integración'!G$5:G$44)),'Factor Integración'!$G$5)</f>
        <v>1.047945205479452</v>
      </c>
      <c r="L30" s="125">
        <f>+IF(Q30&lt;&gt;0,LOOKUP(Q30,Tabulador!C$33:C$93,Tabulador!D$33:D$93),0)</f>
        <v>2000</v>
      </c>
      <c r="M30" s="127" t="str">
        <f>+IF(L30&gt;0,(LOOKUP(L30,Tabulador!E$33:E$93,Tabulador!F$33:F$93)),0)</f>
        <v>(DOS MIL  PESOS  00/100 M.N.)</v>
      </c>
      <c r="N30" s="17">
        <f t="shared" ca="1" si="5"/>
        <v>299.41291585127203</v>
      </c>
      <c r="O30" s="59" t="s">
        <v>27</v>
      </c>
      <c r="P30" s="50" t="s">
        <v>207</v>
      </c>
      <c r="Q30" s="161">
        <v>9.1</v>
      </c>
      <c r="R30" s="143" t="s">
        <v>149</v>
      </c>
      <c r="S30" s="93" t="s">
        <v>879</v>
      </c>
      <c r="T30" s="128" t="s">
        <v>214</v>
      </c>
      <c r="U30" s="128" t="s">
        <v>234</v>
      </c>
      <c r="V30" s="1" t="s">
        <v>247</v>
      </c>
      <c r="W30" s="1" t="s">
        <v>248</v>
      </c>
      <c r="X30" s="138" t="s">
        <v>250</v>
      </c>
      <c r="Y30" s="180">
        <v>52128703981</v>
      </c>
      <c r="Z30" s="2" t="s">
        <v>279</v>
      </c>
      <c r="AA30" s="2" t="s">
        <v>280</v>
      </c>
      <c r="AB30" s="2" t="s">
        <v>253</v>
      </c>
      <c r="AD30" s="15">
        <v>32092</v>
      </c>
      <c r="AF30" s="160">
        <f t="shared" si="6"/>
        <v>11</v>
      </c>
      <c r="AG30" s="160">
        <f t="shared" si="7"/>
        <v>11</v>
      </c>
      <c r="AH30" s="110">
        <v>28</v>
      </c>
      <c r="AJ30" s="2" t="s">
        <v>281</v>
      </c>
      <c r="AK30" s="2" t="s">
        <v>282</v>
      </c>
      <c r="AL30" s="2" t="s">
        <v>283</v>
      </c>
      <c r="AM30" s="2" t="s">
        <v>284</v>
      </c>
      <c r="AN30" s="2" t="s">
        <v>285</v>
      </c>
      <c r="AO30" s="2" t="s">
        <v>253</v>
      </c>
      <c r="AP30" s="180">
        <v>28130</v>
      </c>
      <c r="AU30" s="2" t="s">
        <v>266</v>
      </c>
      <c r="AX30" s="1" t="s">
        <v>261</v>
      </c>
    </row>
    <row r="31" spans="1:127" x14ac:dyDescent="0.2">
      <c r="A31" s="170">
        <v>154</v>
      </c>
      <c r="B31" s="139">
        <v>40626</v>
      </c>
      <c r="C31" s="176">
        <f t="shared" si="20"/>
        <v>24</v>
      </c>
      <c r="D31" s="176">
        <f t="shared" si="21"/>
        <v>3</v>
      </c>
      <c r="E31" s="16" t="str">
        <f>+LOOKUP(D31,'Factor Integración'!$L$4:$L$15,'Factor Integración'!$M$4:$M$15)</f>
        <v>Marzo</v>
      </c>
      <c r="F31" s="176">
        <f t="shared" si="22"/>
        <v>2011</v>
      </c>
      <c r="G31" s="112" t="s">
        <v>120</v>
      </c>
      <c r="H31" s="182">
        <f>+IF(Q31&gt;0,(LOOKUP(Q31,Tabulador!C$34:C$93,Tabulador!D$34:D$93)/7),0)</f>
        <v>214.21428571428572</v>
      </c>
      <c r="I31" s="40">
        <f t="shared" ca="1" si="3"/>
        <v>42453</v>
      </c>
      <c r="J31" s="42">
        <f t="shared" ca="1" si="4"/>
        <v>5</v>
      </c>
      <c r="K31" s="38">
        <f ca="1">+IF(J31&gt;0,(LOOKUP(J31,'Factor Integración'!C$5:C$44,'Factor Integración'!G$5:G$44)),'Factor Integración'!$G$5)</f>
        <v>1.0506849315068492</v>
      </c>
      <c r="L31" s="125">
        <f>+IF(Q31&lt;&gt;0,LOOKUP(Q31,Tabulador!C$33:C$93,Tabulador!D$33:D$93),0)</f>
        <v>1499.5</v>
      </c>
      <c r="M31" s="127" t="str">
        <f>+IF(L31&gt;0,(LOOKUP(L31,Tabulador!E$33:E$93,Tabulador!F$33:F$93)),0)</f>
        <v>(UN MIL CUATROCIENTOS CINCUENTA  PESOS  00/100 M.N.)</v>
      </c>
      <c r="N31" s="17">
        <f t="shared" ca="1" si="5"/>
        <v>225.07172211350291</v>
      </c>
      <c r="O31" s="59" t="s">
        <v>27</v>
      </c>
      <c r="P31" s="50" t="s">
        <v>207</v>
      </c>
      <c r="Q31" s="161">
        <v>7.3</v>
      </c>
      <c r="R31" s="93" t="s">
        <v>885</v>
      </c>
      <c r="S31" s="93" t="s">
        <v>886</v>
      </c>
      <c r="T31" s="128" t="s">
        <v>215</v>
      </c>
      <c r="U31" s="128" t="s">
        <v>235</v>
      </c>
      <c r="V31" s="106" t="s">
        <v>247</v>
      </c>
      <c r="W31" s="105" t="s">
        <v>248</v>
      </c>
      <c r="X31" s="138" t="s">
        <v>250</v>
      </c>
      <c r="Y31" s="180">
        <v>52109108861</v>
      </c>
      <c r="Z31" s="2" t="s">
        <v>677</v>
      </c>
      <c r="AA31" s="2" t="s">
        <v>678</v>
      </c>
      <c r="AB31" s="2" t="s">
        <v>253</v>
      </c>
      <c r="AD31" s="15">
        <v>33602</v>
      </c>
      <c r="AF31" s="160">
        <f t="shared" si="6"/>
        <v>30</v>
      </c>
      <c r="AG31" s="160">
        <f t="shared" si="7"/>
        <v>12</v>
      </c>
      <c r="AH31" s="110">
        <v>24</v>
      </c>
      <c r="AK31" s="2" t="s">
        <v>679</v>
      </c>
      <c r="AL31" s="2" t="s">
        <v>890</v>
      </c>
      <c r="AM31" s="2" t="s">
        <v>697</v>
      </c>
      <c r="AN31" s="2" t="s">
        <v>257</v>
      </c>
      <c r="AO31" s="2" t="s">
        <v>253</v>
      </c>
      <c r="AR31" s="176">
        <v>3131197282</v>
      </c>
      <c r="AU31" s="2" t="s">
        <v>266</v>
      </c>
      <c r="AX31" s="1" t="s">
        <v>261</v>
      </c>
    </row>
    <row r="32" spans="1:127" x14ac:dyDescent="0.2">
      <c r="A32" s="169">
        <v>159</v>
      </c>
      <c r="B32" s="139">
        <v>41596</v>
      </c>
      <c r="C32" s="176">
        <f t="shared" si="20"/>
        <v>18</v>
      </c>
      <c r="D32" s="176">
        <f t="shared" si="21"/>
        <v>11</v>
      </c>
      <c r="E32" s="16" t="str">
        <f>+LOOKUP(D32,'Factor Integración'!$L$4:$L$15,'Factor Integración'!$M$4:$M$15)</f>
        <v>Noviembre</v>
      </c>
      <c r="F32" s="176">
        <f t="shared" si="22"/>
        <v>2013</v>
      </c>
      <c r="G32" s="113" t="s">
        <v>121</v>
      </c>
      <c r="H32" s="182">
        <f>+IF(Q32&gt;0,(LOOKUP(Q32,Tabulador!C$34:C$93,Tabulador!D$34:D$93)/7),0)</f>
        <v>357.14285714285717</v>
      </c>
      <c r="I32" s="40">
        <f t="shared" ca="1" si="3"/>
        <v>42326</v>
      </c>
      <c r="J32" s="42">
        <f t="shared" ca="1" si="4"/>
        <v>2</v>
      </c>
      <c r="K32" s="38">
        <f ca="1">+IF(J32&gt;0,(LOOKUP(J32,'Factor Integración'!C$5:C$44,'Factor Integración'!G$5:G$44)),'Factor Integración'!$G$5)</f>
        <v>1.0465753424657533</v>
      </c>
      <c r="L32" s="125">
        <f>+IF(Q32&lt;&gt;0,LOOKUP(Q32,Tabulador!C$33:C$93,Tabulador!D$33:D$93),0)</f>
        <v>2500</v>
      </c>
      <c r="M32" s="127" t="str">
        <f>+IF(L32&gt;0,(LOOKUP(L32,Tabulador!E$33:E$93,Tabulador!F$33:F$93)),0)</f>
        <v>(DOS MIL QUINIENTOS  PESOS  00/100 M.N.)</v>
      </c>
      <c r="N32" s="17">
        <f t="shared" ca="1" si="5"/>
        <v>373.77690802348337</v>
      </c>
      <c r="O32" s="59" t="s">
        <v>27</v>
      </c>
      <c r="P32" s="50" t="s">
        <v>207</v>
      </c>
      <c r="Q32" s="161">
        <v>10.199999999999999</v>
      </c>
      <c r="R32" s="143" t="s">
        <v>149</v>
      </c>
      <c r="S32" s="93" t="s">
        <v>879</v>
      </c>
      <c r="T32" s="129" t="s">
        <v>210</v>
      </c>
      <c r="U32" s="129" t="s">
        <v>224</v>
      </c>
      <c r="V32" s="106" t="s">
        <v>247</v>
      </c>
      <c r="W32" s="105" t="s">
        <v>248</v>
      </c>
      <c r="X32" s="138" t="s">
        <v>250</v>
      </c>
      <c r="Y32" s="180">
        <v>52988009958</v>
      </c>
      <c r="Z32" s="2" t="s">
        <v>572</v>
      </c>
      <c r="AA32" s="2" t="s">
        <v>573</v>
      </c>
      <c r="AB32" s="2" t="s">
        <v>253</v>
      </c>
      <c r="AD32" s="15">
        <v>30419</v>
      </c>
      <c r="AF32" s="160">
        <f t="shared" si="6"/>
        <v>13</v>
      </c>
      <c r="AG32" s="160">
        <f t="shared" si="7"/>
        <v>4</v>
      </c>
      <c r="AH32" s="110">
        <v>32</v>
      </c>
      <c r="AJ32" s="2" t="s">
        <v>574</v>
      </c>
      <c r="AL32" s="2" t="s">
        <v>575</v>
      </c>
      <c r="AM32" s="2" t="s">
        <v>337</v>
      </c>
      <c r="AN32" s="2" t="s">
        <v>257</v>
      </c>
      <c r="AO32" s="2" t="s">
        <v>253</v>
      </c>
      <c r="AP32" s="180">
        <v>28100</v>
      </c>
      <c r="AR32" s="176">
        <v>3131128344</v>
      </c>
      <c r="AU32" s="2" t="s">
        <v>356</v>
      </c>
      <c r="AV32" s="2" t="s">
        <v>576</v>
      </c>
      <c r="AX32" s="1" t="s">
        <v>261</v>
      </c>
    </row>
    <row r="33" spans="1:50" x14ac:dyDescent="0.2">
      <c r="A33" s="169">
        <v>170</v>
      </c>
      <c r="B33" s="139">
        <v>40763</v>
      </c>
      <c r="C33" s="176">
        <f t="shared" si="20"/>
        <v>8</v>
      </c>
      <c r="D33" s="176">
        <f t="shared" si="21"/>
        <v>8</v>
      </c>
      <c r="E33" s="16" t="str">
        <f>+LOOKUP(D33,'Factor Integración'!$L$4:$L$15,'Factor Integración'!$M$4:$M$15)</f>
        <v>Agosto</v>
      </c>
      <c r="F33" s="176">
        <f t="shared" si="22"/>
        <v>2011</v>
      </c>
      <c r="G33" s="112" t="s">
        <v>122</v>
      </c>
      <c r="H33" s="182">
        <f>+IF(Q33&gt;0,(LOOKUP(Q33,Tabulador!C$34:C$93,Tabulador!D$34:D$93)/7),0)</f>
        <v>285.71428571428572</v>
      </c>
      <c r="I33" s="40">
        <f t="shared" ca="1" si="3"/>
        <v>42224</v>
      </c>
      <c r="J33" s="42">
        <f t="shared" ca="1" si="4"/>
        <v>4</v>
      </c>
      <c r="K33" s="38">
        <f ca="1">+IF(J33&gt;0,(LOOKUP(J33,'Factor Integración'!C$5:C$44,'Factor Integración'!G$5:G$44)),'Factor Integración'!$G$5)</f>
        <v>1.0493150684931507</v>
      </c>
      <c r="L33" s="125">
        <f>+IF(Q33&lt;&gt;0,LOOKUP(Q33,Tabulador!C$33:C$93,Tabulador!D$33:D$93),0)</f>
        <v>2000</v>
      </c>
      <c r="M33" s="127" t="str">
        <f>+IF(L33&gt;0,(LOOKUP(L33,Tabulador!E$33:E$93,Tabulador!F$33:F$93)),0)</f>
        <v>(DOS MIL  PESOS  00/100 M.N.)</v>
      </c>
      <c r="N33" s="17">
        <f t="shared" ca="1" si="5"/>
        <v>299.80430528375734</v>
      </c>
      <c r="O33" s="59" t="s">
        <v>27</v>
      </c>
      <c r="P33" s="50" t="s">
        <v>207</v>
      </c>
      <c r="Q33" s="161">
        <v>9.1</v>
      </c>
      <c r="R33" s="93" t="s">
        <v>885</v>
      </c>
      <c r="S33" s="93" t="s">
        <v>886</v>
      </c>
      <c r="T33" s="128" t="s">
        <v>218</v>
      </c>
      <c r="U33" s="128" t="s">
        <v>218</v>
      </c>
      <c r="V33" s="106" t="s">
        <v>247</v>
      </c>
      <c r="W33" s="105" t="s">
        <v>248</v>
      </c>
      <c r="X33" s="138" t="s">
        <v>250</v>
      </c>
      <c r="Y33" s="180">
        <v>52068400192</v>
      </c>
      <c r="Z33" s="2" t="s">
        <v>715</v>
      </c>
      <c r="AA33" s="2" t="s">
        <v>716</v>
      </c>
      <c r="AB33" s="2" t="s">
        <v>253</v>
      </c>
      <c r="AD33" s="15">
        <v>31038</v>
      </c>
      <c r="AF33" s="160">
        <f t="shared" si="6"/>
        <v>22</v>
      </c>
      <c r="AG33" s="160">
        <f t="shared" si="7"/>
        <v>12</v>
      </c>
      <c r="AH33" s="110">
        <v>31</v>
      </c>
      <c r="AL33" s="2" t="s">
        <v>717</v>
      </c>
      <c r="AM33" s="2" t="s">
        <v>447</v>
      </c>
      <c r="AN33" s="2" t="s">
        <v>257</v>
      </c>
      <c r="AO33" s="2" t="s">
        <v>253</v>
      </c>
      <c r="AP33" s="180">
        <v>28150</v>
      </c>
      <c r="AR33" s="176">
        <v>3131069428</v>
      </c>
      <c r="AU33" s="2" t="s">
        <v>266</v>
      </c>
      <c r="AX33" s="1" t="s">
        <v>261</v>
      </c>
    </row>
    <row r="34" spans="1:50" x14ac:dyDescent="0.2">
      <c r="A34" s="170">
        <v>172</v>
      </c>
      <c r="B34" s="139">
        <v>40747</v>
      </c>
      <c r="C34" s="176">
        <f t="shared" si="20"/>
        <v>23</v>
      </c>
      <c r="D34" s="176">
        <f t="shared" si="21"/>
        <v>7</v>
      </c>
      <c r="E34" s="16" t="str">
        <f>+LOOKUP(D34,'Factor Integración'!$L$4:$L$15,'Factor Integración'!$M$4:$M$15)</f>
        <v>Julio</v>
      </c>
      <c r="F34" s="176">
        <f t="shared" si="22"/>
        <v>2011</v>
      </c>
      <c r="G34" s="112" t="s">
        <v>123</v>
      </c>
      <c r="H34" s="182">
        <f>+IF(Q34&gt;0,(LOOKUP(Q34,Tabulador!C$34:C$93,Tabulador!D$34:D$93)/7),0)</f>
        <v>285.71428571428572</v>
      </c>
      <c r="I34" s="40">
        <f t="shared" ca="1" si="3"/>
        <v>42208</v>
      </c>
      <c r="J34" s="42">
        <f t="shared" ca="1" si="4"/>
        <v>4</v>
      </c>
      <c r="K34" s="38">
        <f ca="1">+IF(J34&gt;0,(LOOKUP(J34,'Factor Integración'!C$5:C$44,'Factor Integración'!G$5:G$44)),'Factor Integración'!$G$5)</f>
        <v>1.0493150684931507</v>
      </c>
      <c r="L34" s="125">
        <f>+IF(Q34&lt;&gt;0,LOOKUP(Q34,Tabulador!C$33:C$93,Tabulador!D$33:D$93),0)</f>
        <v>2000</v>
      </c>
      <c r="M34" s="127" t="str">
        <f>+IF(L34&gt;0,(LOOKUP(L34,Tabulador!E$33:E$93,Tabulador!F$33:F$93)),0)</f>
        <v>(DOS MIL  PESOS  00/100 M.N.)</v>
      </c>
      <c r="N34" s="17">
        <f t="shared" ca="1" si="5"/>
        <v>299.80430528375734</v>
      </c>
      <c r="O34" s="59" t="s">
        <v>27</v>
      </c>
      <c r="P34" s="50" t="s">
        <v>207</v>
      </c>
      <c r="Q34" s="161">
        <v>9.1</v>
      </c>
      <c r="R34" s="93" t="s">
        <v>885</v>
      </c>
      <c r="S34" s="93" t="s">
        <v>886</v>
      </c>
      <c r="T34" s="128" t="s">
        <v>216</v>
      </c>
      <c r="U34" s="128" t="s">
        <v>236</v>
      </c>
      <c r="V34" s="106" t="s">
        <v>247</v>
      </c>
      <c r="W34" s="105" t="s">
        <v>248</v>
      </c>
      <c r="X34" s="138" t="s">
        <v>250</v>
      </c>
      <c r="Y34" s="180">
        <v>52118705350</v>
      </c>
      <c r="Z34" s="2" t="s">
        <v>718</v>
      </c>
      <c r="AA34" s="2" t="s">
        <v>719</v>
      </c>
      <c r="AD34" s="15">
        <v>32077</v>
      </c>
      <c r="AF34" s="160">
        <f t="shared" si="6"/>
        <v>27</v>
      </c>
      <c r="AG34" s="160">
        <f t="shared" si="7"/>
        <v>10</v>
      </c>
      <c r="AH34" s="110">
        <v>28</v>
      </c>
      <c r="AJ34" s="2" t="s">
        <v>650</v>
      </c>
      <c r="AK34" s="2" t="s">
        <v>720</v>
      </c>
      <c r="AL34" s="2" t="s">
        <v>652</v>
      </c>
      <c r="AM34" s="2" t="s">
        <v>447</v>
      </c>
      <c r="AN34" s="2" t="s">
        <v>257</v>
      </c>
      <c r="AO34" s="2" t="s">
        <v>253</v>
      </c>
      <c r="AP34" s="180">
        <v>28150</v>
      </c>
      <c r="AQ34" s="162">
        <v>3245902</v>
      </c>
      <c r="AR34" s="176">
        <v>3131061705</v>
      </c>
      <c r="AU34" s="2" t="s">
        <v>266</v>
      </c>
      <c r="AX34" s="1" t="s">
        <v>261</v>
      </c>
    </row>
    <row r="35" spans="1:50" x14ac:dyDescent="0.2">
      <c r="A35" s="170">
        <v>175</v>
      </c>
      <c r="B35" s="139">
        <v>40812</v>
      </c>
      <c r="C35" s="176">
        <f t="shared" si="20"/>
        <v>26</v>
      </c>
      <c r="D35" s="176">
        <f t="shared" si="21"/>
        <v>9</v>
      </c>
      <c r="E35" s="16" t="str">
        <f>+LOOKUP(D35,'Factor Integración'!$L$4:$L$15,'Factor Integración'!$M$4:$M$15)</f>
        <v>Septiembre</v>
      </c>
      <c r="F35" s="176">
        <f t="shared" si="22"/>
        <v>2011</v>
      </c>
      <c r="G35" s="112" t="s">
        <v>124</v>
      </c>
      <c r="H35" s="182">
        <f>+IF(Q35&gt;0,(LOOKUP(Q35,Tabulador!C$34:C$93,Tabulador!D$34:D$93)/7),0)</f>
        <v>257.14285714285717</v>
      </c>
      <c r="I35" s="40">
        <f t="shared" ca="1" si="3"/>
        <v>42273</v>
      </c>
      <c r="J35" s="42">
        <f t="shared" ca="1" si="4"/>
        <v>4</v>
      </c>
      <c r="K35" s="38">
        <f ca="1">+IF(J35&gt;0,(LOOKUP(J35,'Factor Integración'!C$5:C$44,'Factor Integración'!G$5:G$44)),'Factor Integración'!$G$5)</f>
        <v>1.0493150684931507</v>
      </c>
      <c r="L35" s="125">
        <f>+IF(Q35&lt;&gt;0,LOOKUP(Q35,Tabulador!C$33:C$93,Tabulador!D$33:D$93),0)</f>
        <v>1800</v>
      </c>
      <c r="M35" s="127" t="str">
        <f>+IF(L35&gt;0,(LOOKUP(L35,Tabulador!E$33:E$93,Tabulador!F$33:F$93)),0)</f>
        <v>(UN MIL OCHOCIENTOS  PESOS  00/100 M.N.)</v>
      </c>
      <c r="N35" s="17">
        <f t="shared" ca="1" si="5"/>
        <v>269.82387475538161</v>
      </c>
      <c r="O35" s="59" t="s">
        <v>27</v>
      </c>
      <c r="P35" s="50" t="s">
        <v>207</v>
      </c>
      <c r="Q35" s="161">
        <v>8.4</v>
      </c>
      <c r="R35" s="93" t="s">
        <v>881</v>
      </c>
      <c r="S35" s="93" t="s">
        <v>880</v>
      </c>
      <c r="T35" s="128" t="s">
        <v>213</v>
      </c>
      <c r="U35" s="128" t="s">
        <v>213</v>
      </c>
      <c r="V35" s="106" t="s">
        <v>247</v>
      </c>
      <c r="W35" s="105" t="s">
        <v>248</v>
      </c>
      <c r="X35" s="137" t="s">
        <v>250</v>
      </c>
      <c r="Y35" s="178">
        <v>52038406972</v>
      </c>
      <c r="Z35" s="102" t="s">
        <v>773</v>
      </c>
      <c r="AA35" s="6" t="s">
        <v>774</v>
      </c>
      <c r="AB35" s="6"/>
      <c r="AC35" s="14">
        <v>32785</v>
      </c>
      <c r="AD35" s="14">
        <v>30702</v>
      </c>
      <c r="AE35" s="61"/>
      <c r="AF35" s="160">
        <f t="shared" si="6"/>
        <v>21</v>
      </c>
      <c r="AG35" s="160">
        <f t="shared" si="7"/>
        <v>1</v>
      </c>
      <c r="AH35" s="6">
        <v>31</v>
      </c>
      <c r="AI35" s="6"/>
      <c r="AJ35" s="6" t="s">
        <v>770</v>
      </c>
      <c r="AK35" s="6" t="s">
        <v>771</v>
      </c>
      <c r="AL35" s="6" t="s">
        <v>772</v>
      </c>
      <c r="AM35" s="6" t="s">
        <v>388</v>
      </c>
      <c r="AN35" s="61" t="s">
        <v>257</v>
      </c>
      <c r="AO35" s="6" t="s">
        <v>253</v>
      </c>
      <c r="AP35" s="175">
        <v>28110</v>
      </c>
      <c r="AQ35" s="159">
        <v>3245521</v>
      </c>
      <c r="AR35" s="176">
        <v>3131144038</v>
      </c>
      <c r="AS35" s="6"/>
      <c r="AT35" s="6"/>
      <c r="AU35" s="96" t="s">
        <v>266</v>
      </c>
      <c r="AV35" s="1"/>
      <c r="AX35" s="1" t="s">
        <v>261</v>
      </c>
    </row>
    <row r="36" spans="1:50" x14ac:dyDescent="0.2">
      <c r="A36" s="170">
        <v>180</v>
      </c>
      <c r="B36" s="139">
        <v>41395</v>
      </c>
      <c r="C36" s="176">
        <f t="shared" si="20"/>
        <v>1</v>
      </c>
      <c r="D36" s="176">
        <f t="shared" si="21"/>
        <v>5</v>
      </c>
      <c r="E36" s="16" t="str">
        <f>+LOOKUP(D36,'Factor Integración'!$L$4:$L$15,'Factor Integración'!$M$4:$M$15)</f>
        <v>Mayo</v>
      </c>
      <c r="F36" s="176">
        <f t="shared" si="22"/>
        <v>2013</v>
      </c>
      <c r="G36" s="113" t="s">
        <v>125</v>
      </c>
      <c r="H36" s="182">
        <f>+IF(Q36&gt;0,(LOOKUP(Q36,Tabulador!C$34:C$93,Tabulador!D$34:D$93)/7),0)</f>
        <v>314.28571428571428</v>
      </c>
      <c r="I36" s="40">
        <f t="shared" ca="1" si="3"/>
        <v>42491</v>
      </c>
      <c r="J36" s="42">
        <f t="shared" ca="1" si="4"/>
        <v>3</v>
      </c>
      <c r="K36" s="38">
        <f ca="1">+IF(J36&gt;0,(LOOKUP(J36,'Factor Integración'!C$5:C$44,'Factor Integración'!G$5:G$44)),'Factor Integración'!$G$5)</f>
        <v>1.047945205479452</v>
      </c>
      <c r="L36" s="125">
        <f>+IF(Q36&lt;&gt;0,LOOKUP(Q36,Tabulador!C$33:C$93,Tabulador!D$33:D$93),0)</f>
        <v>2200</v>
      </c>
      <c r="M36" s="127" t="str">
        <f>+IF(L36&gt;0,(LOOKUP(L36,Tabulador!E$33:E$93,Tabulador!F$33:F$93)),0)</f>
        <v>(DOS MIL DOSCIENTOS  PESOS  00/100 M.N.)</v>
      </c>
      <c r="N36" s="17">
        <f t="shared" ca="1" si="5"/>
        <v>329.35420743639918</v>
      </c>
      <c r="O36" s="59" t="s">
        <v>27</v>
      </c>
      <c r="P36" s="50" t="s">
        <v>207</v>
      </c>
      <c r="Q36" s="161">
        <v>9.3000000000000007</v>
      </c>
      <c r="R36" s="143" t="s">
        <v>149</v>
      </c>
      <c r="S36" s="93" t="s">
        <v>879</v>
      </c>
      <c r="T36" s="129" t="s">
        <v>210</v>
      </c>
      <c r="U36" s="129" t="s">
        <v>224</v>
      </c>
      <c r="V36" s="106" t="s">
        <v>247</v>
      </c>
      <c r="W36" s="105" t="s">
        <v>248</v>
      </c>
      <c r="X36" s="138" t="s">
        <v>250</v>
      </c>
      <c r="Y36" s="180">
        <v>52038604071</v>
      </c>
      <c r="Z36" s="2" t="s">
        <v>568</v>
      </c>
      <c r="AA36" s="2" t="s">
        <v>569</v>
      </c>
      <c r="AB36" s="2" t="s">
        <v>253</v>
      </c>
      <c r="AD36" s="15">
        <v>31513</v>
      </c>
      <c r="AF36" s="160">
        <f t="shared" si="6"/>
        <v>11</v>
      </c>
      <c r="AG36" s="160">
        <f t="shared" si="7"/>
        <v>4</v>
      </c>
      <c r="AH36" s="110">
        <v>29</v>
      </c>
      <c r="AJ36" s="2" t="s">
        <v>570</v>
      </c>
      <c r="AK36" s="2" t="s">
        <v>571</v>
      </c>
      <c r="AL36" s="2" t="s">
        <v>911</v>
      </c>
      <c r="AM36" s="2" t="s">
        <v>912</v>
      </c>
      <c r="AN36" s="2" t="s">
        <v>257</v>
      </c>
      <c r="AO36" s="2" t="s">
        <v>253</v>
      </c>
      <c r="AU36" s="2" t="s">
        <v>258</v>
      </c>
      <c r="AX36" s="1" t="s">
        <v>261</v>
      </c>
    </row>
    <row r="37" spans="1:50" x14ac:dyDescent="0.2">
      <c r="A37" s="170">
        <v>200</v>
      </c>
      <c r="B37" s="139">
        <v>41575</v>
      </c>
      <c r="C37" s="176">
        <f t="shared" si="20"/>
        <v>28</v>
      </c>
      <c r="D37" s="176">
        <f t="shared" si="21"/>
        <v>10</v>
      </c>
      <c r="E37" s="16" t="str">
        <f>+LOOKUP(D37,'Factor Integración'!$L$4:$L$15,'Factor Integración'!$M$4:$M$15)</f>
        <v>Octubre</v>
      </c>
      <c r="F37" s="176">
        <f t="shared" si="22"/>
        <v>2013</v>
      </c>
      <c r="G37" s="113" t="s">
        <v>126</v>
      </c>
      <c r="H37" s="182">
        <f>+IF(Q37&gt;0,(LOOKUP(Q37,Tabulador!C$34:C$93,Tabulador!D$34:D$93)/7),0)</f>
        <v>157.08589348571431</v>
      </c>
      <c r="I37" s="40">
        <f t="shared" ca="1" si="3"/>
        <v>42305</v>
      </c>
      <c r="J37" s="42">
        <f t="shared" ca="1" si="4"/>
        <v>2</v>
      </c>
      <c r="K37" s="38">
        <f ca="1">+IF(J37&gt;0,(LOOKUP(J37,'Factor Integración'!C$5:C$44,'Factor Integración'!G$5:G$44)),'Factor Integración'!$G$5)</f>
        <v>1.0465753424657533</v>
      </c>
      <c r="L37" s="125">
        <f>+IF(Q37&lt;&gt;0,LOOKUP(Q37,Tabulador!C$33:C$93,Tabulador!D$33:D$93),0)</f>
        <v>1099.6012544000002</v>
      </c>
      <c r="M37" s="127" t="str">
        <f>+IF(L37&gt;0,(LOOKUP(L37,Tabulador!E$33:E$93,Tabulador!F$33:F$93)),0)</f>
        <v>(UN MIL  PESOS  00/100 M.N.)</v>
      </c>
      <c r="N37" s="17">
        <f t="shared" ca="1" si="5"/>
        <v>164.4022227713503</v>
      </c>
      <c r="O37" s="59" t="s">
        <v>27</v>
      </c>
      <c r="P37" s="50" t="s">
        <v>207</v>
      </c>
      <c r="Q37" s="161">
        <v>5.4</v>
      </c>
      <c r="R37" s="143" t="s">
        <v>149</v>
      </c>
      <c r="S37" s="93" t="s">
        <v>879</v>
      </c>
      <c r="T37" s="129" t="s">
        <v>210</v>
      </c>
      <c r="U37" s="129" t="s">
        <v>237</v>
      </c>
      <c r="V37" s="106" t="s">
        <v>247</v>
      </c>
      <c r="W37" s="105" t="s">
        <v>248</v>
      </c>
      <c r="X37" s="138" t="s">
        <v>250</v>
      </c>
      <c r="Y37" s="180">
        <v>52099111495</v>
      </c>
      <c r="Z37" s="2" t="s">
        <v>612</v>
      </c>
      <c r="AA37" s="2" t="s">
        <v>613</v>
      </c>
      <c r="AB37" s="2" t="s">
        <v>253</v>
      </c>
      <c r="AD37" s="15">
        <v>33295</v>
      </c>
      <c r="AF37" s="160">
        <f t="shared" si="6"/>
        <v>26</v>
      </c>
      <c r="AG37" s="160">
        <f t="shared" si="7"/>
        <v>2</v>
      </c>
      <c r="AH37" s="110">
        <v>24</v>
      </c>
      <c r="AJ37" s="2" t="s">
        <v>614</v>
      </c>
      <c r="AK37" s="2" t="s">
        <v>615</v>
      </c>
      <c r="AL37" s="2" t="s">
        <v>616</v>
      </c>
      <c r="AM37" s="2" t="s">
        <v>337</v>
      </c>
      <c r="AN37" s="2" t="s">
        <v>257</v>
      </c>
      <c r="AO37" s="2" t="s">
        <v>253</v>
      </c>
      <c r="AR37" s="176">
        <v>3131168471</v>
      </c>
      <c r="AX37" s="1" t="s">
        <v>261</v>
      </c>
    </row>
    <row r="38" spans="1:50" x14ac:dyDescent="0.2">
      <c r="A38" s="170">
        <v>203</v>
      </c>
      <c r="B38" s="139">
        <v>41289</v>
      </c>
      <c r="C38" s="176">
        <f t="shared" si="20"/>
        <v>15</v>
      </c>
      <c r="D38" s="176">
        <f t="shared" si="21"/>
        <v>1</v>
      </c>
      <c r="E38" s="16" t="str">
        <f>+LOOKUP(D38,'Factor Integración'!$L$4:$L$15,'Factor Integración'!$M$4:$M$15)</f>
        <v>Enero</v>
      </c>
      <c r="F38" s="176">
        <f t="shared" si="22"/>
        <v>2013</v>
      </c>
      <c r="G38" s="112" t="s">
        <v>127</v>
      </c>
      <c r="H38" s="182">
        <f>+IF(Q38&gt;0,(LOOKUP(Q38,Tabulador!C$34:C$93,Tabulador!D$34:D$93)/7),0)</f>
        <v>328.57142857142856</v>
      </c>
      <c r="I38" s="40">
        <f t="shared" ca="1" si="3"/>
        <v>42384</v>
      </c>
      <c r="J38" s="42">
        <f t="shared" ca="1" si="4"/>
        <v>3</v>
      </c>
      <c r="K38" s="38">
        <f ca="1">+IF(J38&gt;0,(LOOKUP(J38,'Factor Integración'!C$5:C$44,'Factor Integración'!G$5:G$44)),'Factor Integración'!$G$5)</f>
        <v>1.047945205479452</v>
      </c>
      <c r="L38" s="125">
        <f>+IF(Q38&lt;&gt;0,LOOKUP(Q38,Tabulador!C$33:C$93,Tabulador!D$33:D$93),0)</f>
        <v>2300</v>
      </c>
      <c r="M38" s="127" t="str">
        <f>+IF(L38&gt;0,(LOOKUP(L38,Tabulador!E$33:E$93,Tabulador!F$33:F$93)),0)</f>
        <v>(DOS MIL TRESCIENTOS  PESOS  00/100 M.N.)</v>
      </c>
      <c r="N38" s="17">
        <f t="shared" ca="1" si="5"/>
        <v>344.32485322896281</v>
      </c>
      <c r="O38" s="59" t="s">
        <v>27</v>
      </c>
      <c r="P38" s="50" t="s">
        <v>207</v>
      </c>
      <c r="Q38" s="161">
        <v>9.4</v>
      </c>
      <c r="R38" s="143" t="s">
        <v>149</v>
      </c>
      <c r="S38" s="93" t="s">
        <v>879</v>
      </c>
      <c r="T38" s="142" t="s">
        <v>221</v>
      </c>
      <c r="U38" s="128" t="s">
        <v>238</v>
      </c>
      <c r="V38" s="106" t="s">
        <v>247</v>
      </c>
      <c r="W38" s="105" t="s">
        <v>248</v>
      </c>
      <c r="X38" s="138" t="s">
        <v>298</v>
      </c>
      <c r="Y38" s="180">
        <v>52056300263</v>
      </c>
      <c r="Z38" s="2" t="s">
        <v>392</v>
      </c>
      <c r="AA38" s="2" t="s">
        <v>391</v>
      </c>
      <c r="AB38" s="2" t="s">
        <v>301</v>
      </c>
      <c r="AD38" s="15">
        <v>23234</v>
      </c>
      <c r="AF38" s="160">
        <f t="shared" si="6"/>
        <v>11</v>
      </c>
      <c r="AG38" s="160">
        <f t="shared" si="7"/>
        <v>8</v>
      </c>
      <c r="AH38" s="110">
        <v>52</v>
      </c>
      <c r="AK38" s="2" t="s">
        <v>393</v>
      </c>
      <c r="AL38" s="2" t="s">
        <v>394</v>
      </c>
      <c r="AM38" s="2" t="s">
        <v>337</v>
      </c>
      <c r="AN38" s="2" t="s">
        <v>257</v>
      </c>
      <c r="AO38" s="2" t="s">
        <v>253</v>
      </c>
      <c r="AP38" s="180">
        <v>28100</v>
      </c>
      <c r="AR38" s="176">
        <v>3133284809</v>
      </c>
      <c r="AU38" s="2" t="s">
        <v>258</v>
      </c>
      <c r="AV38" s="2" t="s">
        <v>395</v>
      </c>
      <c r="AW38" s="1" t="s">
        <v>396</v>
      </c>
      <c r="AX38" s="1" t="s">
        <v>261</v>
      </c>
    </row>
    <row r="39" spans="1:50" x14ac:dyDescent="0.2">
      <c r="A39" s="170">
        <v>205</v>
      </c>
      <c r="B39" s="139">
        <v>41314</v>
      </c>
      <c r="C39" s="176">
        <f t="shared" si="20"/>
        <v>9</v>
      </c>
      <c r="D39" s="176">
        <f t="shared" si="21"/>
        <v>2</v>
      </c>
      <c r="E39" s="16" t="str">
        <f>+LOOKUP(D39,'Factor Integración'!$L$4:$L$15,'Factor Integración'!$M$4:$M$15)</f>
        <v>Febrero</v>
      </c>
      <c r="F39" s="176">
        <f t="shared" si="22"/>
        <v>2013</v>
      </c>
      <c r="G39" s="113" t="s">
        <v>128</v>
      </c>
      <c r="H39" s="182">
        <f>+IF(Q39&gt;0,(LOOKUP(Q39,Tabulador!C$34:C$93,Tabulador!D$34:D$93)/7),0)</f>
        <v>157.08589348571431</v>
      </c>
      <c r="I39" s="40">
        <f t="shared" ca="1" si="3"/>
        <v>42409</v>
      </c>
      <c r="J39" s="42">
        <f t="shared" ca="1" si="4"/>
        <v>3</v>
      </c>
      <c r="K39" s="38">
        <f ca="1">+IF(J39&gt;0,(LOOKUP(J39,'Factor Integración'!C$5:C$44,'Factor Integración'!G$5:G$44)),'Factor Integración'!$G$5)</f>
        <v>1.047945205479452</v>
      </c>
      <c r="L39" s="125">
        <f>+IF(Q39&lt;&gt;0,LOOKUP(Q39,Tabulador!C$33:C$93,Tabulador!D$33:D$93),0)</f>
        <v>1099.6012544000002</v>
      </c>
      <c r="M39" s="127" t="str">
        <f>+IF(L39&gt;0,(LOOKUP(L39,Tabulador!E$33:E$93,Tabulador!F$33:F$93)),0)</f>
        <v>(UN MIL  PESOS  00/100 M.N.)</v>
      </c>
      <c r="N39" s="17">
        <f t="shared" ca="1" si="5"/>
        <v>164.61740892681019</v>
      </c>
      <c r="O39" s="59" t="s">
        <v>27</v>
      </c>
      <c r="P39" s="50" t="s">
        <v>207</v>
      </c>
      <c r="Q39" s="161">
        <v>5.4</v>
      </c>
      <c r="R39" s="143" t="s">
        <v>149</v>
      </c>
      <c r="S39" s="93" t="s">
        <v>879</v>
      </c>
      <c r="T39" s="129" t="s">
        <v>210</v>
      </c>
      <c r="U39" s="129" t="s">
        <v>237</v>
      </c>
      <c r="V39" s="106" t="s">
        <v>247</v>
      </c>
      <c r="W39" s="105" t="s">
        <v>248</v>
      </c>
      <c r="X39" s="138" t="s">
        <v>250</v>
      </c>
      <c r="Y39" s="180">
        <v>52998207279</v>
      </c>
      <c r="Z39" s="2" t="s">
        <v>605</v>
      </c>
      <c r="AA39" s="2" t="s">
        <v>606</v>
      </c>
      <c r="AB39" s="2" t="s">
        <v>253</v>
      </c>
      <c r="AD39" s="15">
        <v>34570</v>
      </c>
      <c r="AF39" s="160">
        <f t="shared" si="6"/>
        <v>24</v>
      </c>
      <c r="AG39" s="160">
        <f t="shared" si="7"/>
        <v>8</v>
      </c>
      <c r="AH39" s="110">
        <v>21</v>
      </c>
      <c r="AL39" s="2" t="s">
        <v>607</v>
      </c>
      <c r="AM39" s="2" t="s">
        <v>608</v>
      </c>
      <c r="AN39" s="2" t="s">
        <v>257</v>
      </c>
      <c r="AO39" s="2" t="s">
        <v>253</v>
      </c>
      <c r="AP39" s="180">
        <v>28160</v>
      </c>
      <c r="AQ39" s="162">
        <v>3137300666</v>
      </c>
      <c r="AU39" s="2" t="s">
        <v>266</v>
      </c>
      <c r="AX39" s="1" t="s">
        <v>261</v>
      </c>
    </row>
    <row r="40" spans="1:50" x14ac:dyDescent="0.2">
      <c r="A40" s="169">
        <v>209</v>
      </c>
      <c r="B40" s="139">
        <v>41596</v>
      </c>
      <c r="C40" s="176">
        <f t="shared" si="20"/>
        <v>18</v>
      </c>
      <c r="D40" s="176">
        <f t="shared" si="21"/>
        <v>11</v>
      </c>
      <c r="E40" s="16" t="str">
        <f>+LOOKUP(D40,'Factor Integración'!$L$4:$L$15,'Factor Integración'!$M$4:$M$15)</f>
        <v>Noviembre</v>
      </c>
      <c r="F40" s="176">
        <f t="shared" si="22"/>
        <v>2013</v>
      </c>
      <c r="G40" s="112" t="s">
        <v>129</v>
      </c>
      <c r="H40" s="182">
        <f>+IF(Q40&gt;0,(LOOKUP(Q40,Tabulador!C$34:C$93,Tabulador!D$34:D$93)/7),0)</f>
        <v>328.57142857142856</v>
      </c>
      <c r="I40" s="40">
        <f t="shared" ca="1" si="3"/>
        <v>42326</v>
      </c>
      <c r="J40" s="42">
        <f t="shared" ca="1" si="4"/>
        <v>2</v>
      </c>
      <c r="K40" s="38">
        <f ca="1">+IF(J40&gt;0,(LOOKUP(J40,'Factor Integración'!C$5:C$44,'Factor Integración'!G$5:G$44)),'Factor Integración'!$G$5)</f>
        <v>1.0465753424657533</v>
      </c>
      <c r="L40" s="125">
        <f>+IF(Q40&lt;&gt;0,LOOKUP(Q40,Tabulador!C$33:C$93,Tabulador!D$33:D$93),0)</f>
        <v>2300</v>
      </c>
      <c r="M40" s="127" t="str">
        <f>+IF(L40&gt;0,(LOOKUP(L40,Tabulador!E$33:E$93,Tabulador!F$33:F$93)),0)</f>
        <v>(DOS MIL TRESCIENTOS  PESOS  00/100 M.N.)</v>
      </c>
      <c r="N40" s="17">
        <f t="shared" ca="1" si="5"/>
        <v>343.87475538160464</v>
      </c>
      <c r="O40" s="59" t="s">
        <v>27</v>
      </c>
      <c r="P40" s="50" t="s">
        <v>207</v>
      </c>
      <c r="Q40" s="161">
        <v>9.4</v>
      </c>
      <c r="R40" s="143" t="s">
        <v>149</v>
      </c>
      <c r="S40" s="93" t="s">
        <v>879</v>
      </c>
      <c r="T40" s="128" t="s">
        <v>211</v>
      </c>
      <c r="U40" s="128" t="s">
        <v>232</v>
      </c>
      <c r="V40" s="106" t="s">
        <v>247</v>
      </c>
      <c r="W40" s="105" t="s">
        <v>248</v>
      </c>
      <c r="X40" s="138" t="s">
        <v>298</v>
      </c>
      <c r="Y40" s="180">
        <v>52003504249</v>
      </c>
      <c r="Z40" s="2" t="s">
        <v>383</v>
      </c>
      <c r="AA40" s="2" t="s">
        <v>384</v>
      </c>
      <c r="AB40" s="2" t="s">
        <v>253</v>
      </c>
      <c r="AD40" s="15">
        <v>31281</v>
      </c>
      <c r="AF40" s="160">
        <f t="shared" si="6"/>
        <v>22</v>
      </c>
      <c r="AG40" s="160">
        <f t="shared" si="7"/>
        <v>8</v>
      </c>
      <c r="AH40" s="110">
        <v>31</v>
      </c>
      <c r="AJ40" s="2" t="s">
        <v>385</v>
      </c>
      <c r="AK40" s="2" t="s">
        <v>386</v>
      </c>
      <c r="AL40" s="2" t="s">
        <v>387</v>
      </c>
      <c r="AM40" s="2" t="s">
        <v>388</v>
      </c>
      <c r="AN40" s="2" t="s">
        <v>257</v>
      </c>
      <c r="AO40" s="2" t="s">
        <v>253</v>
      </c>
      <c r="AP40" s="180">
        <v>28110</v>
      </c>
      <c r="AR40" s="176">
        <v>3131198521</v>
      </c>
      <c r="AU40" s="2" t="s">
        <v>258</v>
      </c>
      <c r="AV40" s="2" t="s">
        <v>389</v>
      </c>
      <c r="AX40" s="1" t="s">
        <v>261</v>
      </c>
    </row>
    <row r="41" spans="1:50" x14ac:dyDescent="0.2">
      <c r="A41" s="170">
        <v>218</v>
      </c>
      <c r="B41" s="139">
        <v>41653</v>
      </c>
      <c r="C41" s="176">
        <f t="shared" si="20"/>
        <v>14</v>
      </c>
      <c r="D41" s="176">
        <f t="shared" si="21"/>
        <v>1</v>
      </c>
      <c r="E41" s="16" t="str">
        <f>+LOOKUP(D41,'Factor Integración'!$L$4:$L$15,'Factor Integración'!$M$4:$M$15)</f>
        <v>Enero</v>
      </c>
      <c r="F41" s="176">
        <f t="shared" si="22"/>
        <v>2014</v>
      </c>
      <c r="G41" s="112" t="s">
        <v>130</v>
      </c>
      <c r="H41" s="182">
        <f>+IF(Q41&gt;0,(LOOKUP(Q41,Tabulador!C$34:C$93,Tabulador!D$34:D$93)/7),0)</f>
        <v>214.21428571428572</v>
      </c>
      <c r="I41" s="40">
        <f t="shared" ca="1" si="3"/>
        <v>42383</v>
      </c>
      <c r="J41" s="42">
        <f t="shared" ca="1" si="4"/>
        <v>2</v>
      </c>
      <c r="K41" s="38">
        <f ca="1">+IF(J41&gt;0,(LOOKUP(J41,'Factor Integración'!C$5:C$44,'Factor Integración'!G$5:G$44)),'Factor Integración'!$G$5)</f>
        <v>1.0465753424657533</v>
      </c>
      <c r="L41" s="125">
        <f>+IF(Q41&lt;&gt;0,LOOKUP(Q41,Tabulador!C$33:C$93,Tabulador!D$33:D$93),0)</f>
        <v>1499.5</v>
      </c>
      <c r="M41" s="127" t="str">
        <f>+IF(L41&gt;0,(LOOKUP(L41,Tabulador!E$33:E$93,Tabulador!F$33:F$93)),0)</f>
        <v>(UN MIL CUATROCIENTOS CINCUENTA  PESOS  00/100 M.N.)</v>
      </c>
      <c r="N41" s="17">
        <f t="shared" ca="1" si="5"/>
        <v>224.19138943248532</v>
      </c>
      <c r="O41" s="59" t="s">
        <v>27</v>
      </c>
      <c r="P41" s="50" t="s">
        <v>207</v>
      </c>
      <c r="Q41" s="161">
        <v>7.3</v>
      </c>
      <c r="R41" s="93" t="s">
        <v>885</v>
      </c>
      <c r="S41" s="93" t="s">
        <v>886</v>
      </c>
      <c r="T41" s="128" t="s">
        <v>218</v>
      </c>
      <c r="U41" s="128" t="s">
        <v>239</v>
      </c>
      <c r="V41" s="106" t="s">
        <v>247</v>
      </c>
      <c r="W41" s="105" t="s">
        <v>248</v>
      </c>
      <c r="X41" s="138" t="s">
        <v>250</v>
      </c>
      <c r="Y41" s="180">
        <v>52099100134</v>
      </c>
      <c r="Z41" s="2" t="s">
        <v>699</v>
      </c>
      <c r="AA41" s="2" t="s">
        <v>700</v>
      </c>
      <c r="AB41" s="2" t="s">
        <v>301</v>
      </c>
      <c r="AD41" s="15">
        <v>33332</v>
      </c>
      <c r="AF41" s="160">
        <f t="shared" si="6"/>
        <v>4</v>
      </c>
      <c r="AG41" s="160">
        <f t="shared" si="7"/>
        <v>4</v>
      </c>
      <c r="AH41" s="110">
        <v>24</v>
      </c>
      <c r="AJ41" s="2" t="s">
        <v>701</v>
      </c>
      <c r="AK41" s="2" t="s">
        <v>702</v>
      </c>
      <c r="AL41" s="2" t="s">
        <v>889</v>
      </c>
      <c r="AM41" s="2" t="s">
        <v>363</v>
      </c>
      <c r="AN41" s="2" t="s">
        <v>257</v>
      </c>
      <c r="AO41" s="2" t="s">
        <v>253</v>
      </c>
      <c r="AP41" s="180">
        <v>28111</v>
      </c>
      <c r="AR41" s="176">
        <v>3121190334</v>
      </c>
      <c r="AU41" s="2" t="s">
        <v>258</v>
      </c>
      <c r="AV41" s="2" t="s">
        <v>703</v>
      </c>
      <c r="AX41" s="1" t="s">
        <v>261</v>
      </c>
    </row>
    <row r="42" spans="1:50" x14ac:dyDescent="0.2">
      <c r="A42" s="169">
        <v>221</v>
      </c>
      <c r="B42" s="139">
        <v>41596</v>
      </c>
      <c r="C42" s="176">
        <f t="shared" si="20"/>
        <v>18</v>
      </c>
      <c r="D42" s="176">
        <f t="shared" si="21"/>
        <v>11</v>
      </c>
      <c r="E42" s="16" t="str">
        <f>+LOOKUP(D42,'Factor Integración'!$L$4:$L$15,'Factor Integración'!$M$4:$M$15)</f>
        <v>Noviembre</v>
      </c>
      <c r="F42" s="176">
        <f t="shared" si="22"/>
        <v>2013</v>
      </c>
      <c r="G42" s="112" t="s">
        <v>131</v>
      </c>
      <c r="H42" s="182">
        <f>+IF(Q42&gt;0,(LOOKUP(Q42,Tabulador!C$34:C$93,Tabulador!D$34:D$93)/7),0)</f>
        <v>214.21428571428572</v>
      </c>
      <c r="I42" s="40">
        <f t="shared" ca="1" si="3"/>
        <v>42326</v>
      </c>
      <c r="J42" s="42">
        <f t="shared" ca="1" si="4"/>
        <v>2</v>
      </c>
      <c r="K42" s="38">
        <f ca="1">+IF(J42&gt;0,(LOOKUP(J42,'Factor Integración'!C$5:C$44,'Factor Integración'!G$5:G$44)),'Factor Integración'!$G$5)</f>
        <v>1.0465753424657533</v>
      </c>
      <c r="L42" s="125">
        <f>+IF(Q42&lt;&gt;0,LOOKUP(Q42,Tabulador!C$33:C$93,Tabulador!D$33:D$93),0)</f>
        <v>1499.5</v>
      </c>
      <c r="M42" s="127" t="str">
        <f>+IF(L42&gt;0,(LOOKUP(L42,Tabulador!E$33:E$93,Tabulador!F$33:F$93)),0)</f>
        <v>(UN MIL CUATROCIENTOS CINCUENTA  PESOS  00/100 M.N.)</v>
      </c>
      <c r="N42" s="17">
        <f t="shared" ca="1" si="5"/>
        <v>224.19138943248532</v>
      </c>
      <c r="O42" s="59" t="s">
        <v>27</v>
      </c>
      <c r="P42" s="50" t="s">
        <v>207</v>
      </c>
      <c r="Q42" s="161">
        <v>7.3</v>
      </c>
      <c r="R42" s="93" t="s">
        <v>881</v>
      </c>
      <c r="S42" s="93" t="s">
        <v>880</v>
      </c>
      <c r="T42" s="128" t="s">
        <v>212</v>
      </c>
      <c r="U42" s="128" t="s">
        <v>227</v>
      </c>
      <c r="V42" s="106" t="s">
        <v>247</v>
      </c>
      <c r="W42" s="105" t="s">
        <v>248</v>
      </c>
      <c r="X42" s="138" t="s">
        <v>250</v>
      </c>
      <c r="Y42" s="180">
        <v>52109310046</v>
      </c>
      <c r="Z42" s="2" t="s">
        <v>829</v>
      </c>
      <c r="AA42" s="2" t="s">
        <v>830</v>
      </c>
      <c r="AB42" s="2" t="s">
        <v>253</v>
      </c>
      <c r="AD42" s="15">
        <v>34288</v>
      </c>
      <c r="AF42" s="160">
        <f t="shared" si="6"/>
        <v>15</v>
      </c>
      <c r="AG42" s="160">
        <f t="shared" si="7"/>
        <v>11</v>
      </c>
      <c r="AH42" s="110">
        <v>22</v>
      </c>
      <c r="AJ42" s="2" t="s">
        <v>831</v>
      </c>
      <c r="AK42" s="2" t="s">
        <v>832</v>
      </c>
      <c r="AL42" s="2" t="s">
        <v>833</v>
      </c>
      <c r="AM42" s="2" t="s">
        <v>834</v>
      </c>
      <c r="AN42" s="2" t="s">
        <v>257</v>
      </c>
      <c r="AO42" s="2" t="s">
        <v>253</v>
      </c>
      <c r="AP42" s="180">
        <v>28160</v>
      </c>
      <c r="AR42" s="176">
        <v>3131350718</v>
      </c>
      <c r="AU42" s="2" t="s">
        <v>258</v>
      </c>
      <c r="AV42" s="2" t="s">
        <v>835</v>
      </c>
      <c r="AX42" s="1" t="s">
        <v>261</v>
      </c>
    </row>
    <row r="43" spans="1:50" x14ac:dyDescent="0.2">
      <c r="A43" s="170">
        <v>225</v>
      </c>
      <c r="B43" s="139">
        <v>41694</v>
      </c>
      <c r="C43" s="176">
        <f t="shared" si="20"/>
        <v>24</v>
      </c>
      <c r="D43" s="176">
        <f t="shared" si="21"/>
        <v>2</v>
      </c>
      <c r="E43" s="16" t="str">
        <f>+LOOKUP(D43,'Factor Integración'!$L$4:$L$15,'Factor Integración'!$M$4:$M$15)</f>
        <v>Febrero</v>
      </c>
      <c r="F43" s="176">
        <f t="shared" si="22"/>
        <v>2014</v>
      </c>
      <c r="G43" s="113" t="s">
        <v>132</v>
      </c>
      <c r="H43" s="182">
        <f>+IF(Q43&gt;0,(LOOKUP(Q43,Tabulador!C$34:C$93,Tabulador!D$34:D$93)/7),0)</f>
        <v>171.42857142857142</v>
      </c>
      <c r="I43" s="40">
        <f t="shared" ca="1" si="3"/>
        <v>42424</v>
      </c>
      <c r="J43" s="42">
        <f t="shared" ca="1" si="4"/>
        <v>2</v>
      </c>
      <c r="K43" s="38">
        <f ca="1">+IF(J43&gt;0,(LOOKUP(J43,'Factor Integración'!C$5:C$44,'Factor Integración'!G$5:G$44)),'Factor Integración'!$G$5)</f>
        <v>1.0465753424657533</v>
      </c>
      <c r="L43" s="125">
        <f>+IF(Q43&lt;&gt;0,LOOKUP(Q43,Tabulador!C$33:C$93,Tabulador!D$33:D$93),0)</f>
        <v>1200</v>
      </c>
      <c r="M43" s="127" t="str">
        <f>+IF(L43&gt;0,(LOOKUP(L43,Tabulador!E$33:E$93,Tabulador!F$33:F$93)),0)</f>
        <v>(UN MIL DOSCIENTOS  PESOS  00/100 M.N.)</v>
      </c>
      <c r="N43" s="17">
        <f t="shared" ca="1" si="5"/>
        <v>179.41291585127198</v>
      </c>
      <c r="O43" s="59" t="s">
        <v>27</v>
      </c>
      <c r="P43" s="50" t="s">
        <v>207</v>
      </c>
      <c r="Q43" s="161">
        <v>6.1</v>
      </c>
      <c r="R43" s="143" t="s">
        <v>149</v>
      </c>
      <c r="S43" s="93" t="s">
        <v>879</v>
      </c>
      <c r="T43" s="129" t="s">
        <v>210</v>
      </c>
      <c r="U43" s="129" t="s">
        <v>226</v>
      </c>
      <c r="V43" s="106" t="s">
        <v>247</v>
      </c>
      <c r="W43" s="105" t="s">
        <v>248</v>
      </c>
      <c r="X43" s="138" t="s">
        <v>250</v>
      </c>
      <c r="Y43" s="180">
        <v>52058503146</v>
      </c>
      <c r="Z43" s="2" t="s">
        <v>521</v>
      </c>
      <c r="AA43" s="2" t="s">
        <v>522</v>
      </c>
      <c r="AB43" s="2" t="s">
        <v>253</v>
      </c>
      <c r="AD43" s="15">
        <v>31342</v>
      </c>
      <c r="AF43" s="160">
        <f t="shared" si="6"/>
        <v>22</v>
      </c>
      <c r="AG43" s="160">
        <f t="shared" si="7"/>
        <v>10</v>
      </c>
      <c r="AH43" s="110">
        <v>31</v>
      </c>
      <c r="AJ43" s="2" t="s">
        <v>523</v>
      </c>
      <c r="AK43" s="2" t="s">
        <v>524</v>
      </c>
      <c r="AL43" s="2" t="s">
        <v>525</v>
      </c>
      <c r="AM43" s="2" t="s">
        <v>526</v>
      </c>
      <c r="AN43" s="2" t="s">
        <v>257</v>
      </c>
      <c r="AO43" s="2" t="s">
        <v>253</v>
      </c>
      <c r="AR43" s="176">
        <v>3139628152</v>
      </c>
      <c r="AU43" s="2" t="s">
        <v>258</v>
      </c>
      <c r="AX43" s="10" t="s">
        <v>261</v>
      </c>
    </row>
    <row r="44" spans="1:50" x14ac:dyDescent="0.2">
      <c r="A44" s="170">
        <v>227</v>
      </c>
      <c r="B44" s="145">
        <v>41579</v>
      </c>
      <c r="C44" s="176">
        <f t="shared" si="20"/>
        <v>1</v>
      </c>
      <c r="D44" s="176">
        <f t="shared" si="21"/>
        <v>11</v>
      </c>
      <c r="E44" s="16" t="str">
        <f>+LOOKUP(D44,'Factor Integración'!$L$4:$L$15,'Factor Integración'!$M$4:$M$15)</f>
        <v>Noviembre</v>
      </c>
      <c r="F44" s="176">
        <f t="shared" si="22"/>
        <v>2013</v>
      </c>
      <c r="G44" s="119" t="s">
        <v>133</v>
      </c>
      <c r="H44" s="182" t="e">
        <f>+IF(Q44&gt;0,(LOOKUP(Q44,Tabulador!C$34:C$93,Tabulador!D$34:D$93)/7),0)</f>
        <v>#N/A</v>
      </c>
      <c r="I44" s="40">
        <f t="shared" ca="1" si="3"/>
        <v>42309</v>
      </c>
      <c r="J44" s="42">
        <f t="shared" ca="1" si="4"/>
        <v>2</v>
      </c>
      <c r="K44" s="38">
        <f ca="1">+IF(J44&gt;0,(LOOKUP(J44,'Factor Integración'!C$5:C$44,'Factor Integración'!G$5:G$44)),'Factor Integración'!$G$5)</f>
        <v>1.0465753424657533</v>
      </c>
      <c r="L44" s="125">
        <f>+IF(Q44&lt;&gt;0,LOOKUP(Q44,Tabulador!C$33:C$93,Tabulador!D$33:D$93),0)</f>
        <v>0</v>
      </c>
      <c r="M44" s="127">
        <f>+IF(L44&gt;0,(LOOKUP(L44,Tabulador!E$33:E$93,Tabulador!F$33:F$93)),0)</f>
        <v>0</v>
      </c>
      <c r="N44" s="17" t="e">
        <f t="shared" ca="1" si="5"/>
        <v>#N/A</v>
      </c>
      <c r="O44" s="59" t="s">
        <v>27</v>
      </c>
      <c r="P44" s="50" t="s">
        <v>207</v>
      </c>
      <c r="Q44" s="161">
        <v>1</v>
      </c>
      <c r="R44" s="143" t="s">
        <v>149</v>
      </c>
      <c r="S44" s="93" t="s">
        <v>879</v>
      </c>
      <c r="T44" s="129" t="s">
        <v>210</v>
      </c>
      <c r="U44" s="129" t="s">
        <v>240</v>
      </c>
      <c r="V44" s="106" t="s">
        <v>247</v>
      </c>
      <c r="W44" s="105" t="s">
        <v>248</v>
      </c>
      <c r="X44" s="138" t="s">
        <v>298</v>
      </c>
      <c r="Y44" s="180">
        <v>52997401258</v>
      </c>
      <c r="Z44" s="2" t="s">
        <v>642</v>
      </c>
      <c r="AA44" s="2" t="s">
        <v>641</v>
      </c>
      <c r="AB44" s="2" t="s">
        <v>253</v>
      </c>
      <c r="AD44" s="15">
        <v>27259</v>
      </c>
      <c r="AF44" s="160">
        <f t="shared" si="6"/>
        <v>18</v>
      </c>
      <c r="AG44" s="160">
        <f t="shared" si="7"/>
        <v>8</v>
      </c>
      <c r="AH44" s="110">
        <v>41</v>
      </c>
      <c r="AL44" s="2" t="s">
        <v>643</v>
      </c>
      <c r="AM44" s="2" t="s">
        <v>447</v>
      </c>
      <c r="AN44" s="2" t="s">
        <v>257</v>
      </c>
      <c r="AO44" s="2" t="s">
        <v>253</v>
      </c>
      <c r="AR44" s="176">
        <v>3131123729</v>
      </c>
      <c r="AU44" s="2" t="s">
        <v>258</v>
      </c>
      <c r="AV44" s="2" t="s">
        <v>644</v>
      </c>
      <c r="AX44" s="10" t="s">
        <v>261</v>
      </c>
    </row>
    <row r="45" spans="1:50" x14ac:dyDescent="0.2">
      <c r="A45" s="170">
        <v>229</v>
      </c>
      <c r="B45" s="139">
        <v>41682</v>
      </c>
      <c r="C45" s="176">
        <f t="shared" si="20"/>
        <v>12</v>
      </c>
      <c r="D45" s="176">
        <f t="shared" si="21"/>
        <v>2</v>
      </c>
      <c r="E45" s="16" t="str">
        <f>+LOOKUP(D45,'Factor Integración'!$L$4:$L$15,'Factor Integración'!$M$4:$M$15)</f>
        <v>Febrero</v>
      </c>
      <c r="F45" s="176">
        <f t="shared" si="22"/>
        <v>2014</v>
      </c>
      <c r="G45" s="113" t="s">
        <v>895</v>
      </c>
      <c r="H45" s="182">
        <f>+IF(Q45&gt;0,(LOOKUP(Q45,Tabulador!C$34:C$93,Tabulador!D$34:D$93)/7),0)</f>
        <v>214.21428571428572</v>
      </c>
      <c r="I45" s="40">
        <f t="shared" ca="1" si="3"/>
        <v>42412</v>
      </c>
      <c r="J45" s="42">
        <f t="shared" ca="1" si="4"/>
        <v>2</v>
      </c>
      <c r="K45" s="38">
        <f ca="1">+IF(J45&gt;0,(LOOKUP(J45,'Factor Integración'!C$5:C$44,'Factor Integración'!G$5:G$44)),'Factor Integración'!$G$5)</f>
        <v>1.0465753424657533</v>
      </c>
      <c r="L45" s="125">
        <f>+IF(Q45&lt;&gt;0,LOOKUP(Q45,Tabulador!C$33:C$93,Tabulador!D$33:D$93),0)</f>
        <v>1499.5</v>
      </c>
      <c r="M45" s="127" t="str">
        <f>+IF(L45&gt;0,(LOOKUP(L45,Tabulador!E$33:E$93,Tabulador!F$33:F$93)),0)</f>
        <v>(UN MIL CUATROCIENTOS CINCUENTA  PESOS  00/100 M.N.)</v>
      </c>
      <c r="N45" s="17">
        <f t="shared" ca="1" si="5"/>
        <v>224.19138943248532</v>
      </c>
      <c r="O45" s="59" t="s">
        <v>27</v>
      </c>
      <c r="P45" s="50" t="s">
        <v>207</v>
      </c>
      <c r="Q45" s="161">
        <v>7.3</v>
      </c>
      <c r="R45" s="143" t="s">
        <v>149</v>
      </c>
      <c r="S45" s="93" t="s">
        <v>879</v>
      </c>
      <c r="T45" s="129" t="s">
        <v>210</v>
      </c>
      <c r="U45" s="129" t="s">
        <v>224</v>
      </c>
      <c r="V45" s="106" t="s">
        <v>247</v>
      </c>
      <c r="W45" s="105" t="s">
        <v>248</v>
      </c>
      <c r="X45" s="138" t="s">
        <v>250</v>
      </c>
      <c r="Y45" s="180">
        <v>52998207279</v>
      </c>
      <c r="Z45" s="2" t="s">
        <v>601</v>
      </c>
      <c r="AA45" s="2" t="s">
        <v>602</v>
      </c>
      <c r="AB45" s="2" t="s">
        <v>253</v>
      </c>
      <c r="AD45" s="15">
        <v>30144</v>
      </c>
      <c r="AF45" s="160">
        <f t="shared" si="6"/>
        <v>12</v>
      </c>
      <c r="AG45" s="160">
        <f t="shared" si="7"/>
        <v>7</v>
      </c>
      <c r="AH45" s="110">
        <v>33</v>
      </c>
      <c r="AL45" s="2" t="s">
        <v>603</v>
      </c>
      <c r="AM45" s="2" t="s">
        <v>604</v>
      </c>
      <c r="AN45" s="2" t="s">
        <v>285</v>
      </c>
      <c r="AO45" s="2" t="s">
        <v>253</v>
      </c>
      <c r="AP45" s="180">
        <v>28935</v>
      </c>
      <c r="AR45" s="176">
        <v>3131143172</v>
      </c>
      <c r="AU45" s="2" t="s">
        <v>356</v>
      </c>
      <c r="AX45" s="1" t="s">
        <v>261</v>
      </c>
    </row>
    <row r="46" spans="1:50" x14ac:dyDescent="0.2">
      <c r="A46" s="170">
        <v>232</v>
      </c>
      <c r="B46" s="139">
        <v>41734</v>
      </c>
      <c r="C46" s="176">
        <f t="shared" si="20"/>
        <v>5</v>
      </c>
      <c r="D46" s="176">
        <f t="shared" si="21"/>
        <v>4</v>
      </c>
      <c r="E46" s="16" t="str">
        <f>+LOOKUP(D46,'Factor Integración'!$L$4:$L$15,'Factor Integración'!$M$4:$M$15)</f>
        <v>Abril</v>
      </c>
      <c r="F46" s="176">
        <f t="shared" si="22"/>
        <v>2014</v>
      </c>
      <c r="G46" s="112" t="s">
        <v>134</v>
      </c>
      <c r="H46" s="182">
        <f>+IF(Q46&gt;0,(LOOKUP(Q46,Tabulador!C$34:C$93,Tabulador!D$34:D$93)/7),0)</f>
        <v>171.42857142857142</v>
      </c>
      <c r="I46" s="40">
        <f t="shared" ca="1" si="3"/>
        <v>42465</v>
      </c>
      <c r="J46" s="42">
        <f t="shared" ca="1" si="4"/>
        <v>2</v>
      </c>
      <c r="K46" s="38">
        <f ca="1">+IF(J46&gt;0,(LOOKUP(J46,'Factor Integración'!C$5:C$44,'Factor Integración'!G$5:G$44)),'Factor Integración'!$G$5)</f>
        <v>1.0465753424657533</v>
      </c>
      <c r="L46" s="125">
        <f>+IF(Q46&lt;&gt;0,LOOKUP(Q46,Tabulador!C$33:C$93,Tabulador!D$33:D$93),0)</f>
        <v>1200</v>
      </c>
      <c r="M46" s="127" t="str">
        <f>+IF(L46&gt;0,(LOOKUP(L46,Tabulador!E$33:E$93,Tabulador!F$33:F$93)),0)</f>
        <v>(UN MIL DOSCIENTOS  PESOS  00/100 M.N.)</v>
      </c>
      <c r="N46" s="17">
        <f t="shared" ca="1" si="5"/>
        <v>179.41291585127198</v>
      </c>
      <c r="O46" s="59" t="s">
        <v>27</v>
      </c>
      <c r="P46" s="50" t="s">
        <v>207</v>
      </c>
      <c r="Q46" s="161">
        <v>6.1</v>
      </c>
      <c r="R46" s="93" t="s">
        <v>885</v>
      </c>
      <c r="S46" s="93" t="s">
        <v>886</v>
      </c>
      <c r="T46" s="128" t="s">
        <v>215</v>
      </c>
      <c r="U46" s="128" t="s">
        <v>241</v>
      </c>
      <c r="V46" s="106" t="s">
        <v>247</v>
      </c>
      <c r="W46" s="105" t="s">
        <v>248</v>
      </c>
      <c r="X46" s="138" t="s">
        <v>298</v>
      </c>
      <c r="Y46" s="180">
        <v>52896809028</v>
      </c>
      <c r="Z46" s="2" t="s">
        <v>671</v>
      </c>
      <c r="AA46" s="2" t="s">
        <v>672</v>
      </c>
      <c r="AB46" s="2" t="s">
        <v>253</v>
      </c>
      <c r="AD46" s="15">
        <v>24974</v>
      </c>
      <c r="AF46" s="160">
        <f t="shared" si="6"/>
        <v>16</v>
      </c>
      <c r="AG46" s="160">
        <f t="shared" si="7"/>
        <v>5</v>
      </c>
      <c r="AH46" s="110">
        <v>47</v>
      </c>
      <c r="AJ46" s="2" t="s">
        <v>673</v>
      </c>
      <c r="AK46" s="2" t="s">
        <v>674</v>
      </c>
      <c r="AL46" s="2" t="s">
        <v>675</v>
      </c>
      <c r="AM46" s="2" t="s">
        <v>388</v>
      </c>
      <c r="AN46" s="2" t="s">
        <v>257</v>
      </c>
      <c r="AO46" s="2" t="s">
        <v>253</v>
      </c>
      <c r="AQ46" s="162">
        <v>3244891</v>
      </c>
      <c r="AR46" s="176">
        <v>3131021202</v>
      </c>
      <c r="AU46" s="2" t="s">
        <v>266</v>
      </c>
      <c r="AW46" s="1" t="s">
        <v>676</v>
      </c>
      <c r="AX46" s="1" t="s">
        <v>261</v>
      </c>
    </row>
    <row r="47" spans="1:50" x14ac:dyDescent="0.2">
      <c r="A47" s="170">
        <v>233</v>
      </c>
      <c r="B47" s="139">
        <v>41796</v>
      </c>
      <c r="C47" s="176">
        <f t="shared" si="20"/>
        <v>6</v>
      </c>
      <c r="D47" s="176">
        <f t="shared" si="21"/>
        <v>6</v>
      </c>
      <c r="E47" s="16" t="str">
        <f>+LOOKUP(D47,'Factor Integración'!$L$4:$L$15,'Factor Integración'!$M$4:$M$15)</f>
        <v>Junio</v>
      </c>
      <c r="F47" s="176">
        <f t="shared" si="22"/>
        <v>2014</v>
      </c>
      <c r="G47" s="112" t="s">
        <v>135</v>
      </c>
      <c r="H47" s="182">
        <f>+IF(Q47&gt;0,(LOOKUP(Q47,Tabulador!C$34:C$93,Tabulador!D$34:D$93)/7),0)</f>
        <v>285.71428571428572</v>
      </c>
      <c r="I47" s="40">
        <f t="shared" ca="1" si="3"/>
        <v>42527</v>
      </c>
      <c r="J47" s="42">
        <f t="shared" ca="1" si="4"/>
        <v>2</v>
      </c>
      <c r="K47" s="38">
        <f ca="1">+IF(J47&gt;0,(LOOKUP(J47,'Factor Integración'!C$5:C$44,'Factor Integración'!G$5:G$44)),'Factor Integración'!$G$5)</f>
        <v>1.0465753424657533</v>
      </c>
      <c r="L47" s="125">
        <f>+IF(Q47&lt;&gt;0,LOOKUP(Q47,Tabulador!C$33:C$93,Tabulador!D$33:D$93),0)</f>
        <v>2000</v>
      </c>
      <c r="M47" s="127" t="str">
        <f>+IF(L47&gt;0,(LOOKUP(L47,Tabulador!E$33:E$93,Tabulador!F$33:F$93)),0)</f>
        <v>(DOS MIL  PESOS  00/100 M.N.)</v>
      </c>
      <c r="N47" s="17">
        <f t="shared" ca="1" si="5"/>
        <v>299.02152641878666</v>
      </c>
      <c r="O47" s="59" t="s">
        <v>27</v>
      </c>
      <c r="P47" s="50" t="s">
        <v>207</v>
      </c>
      <c r="Q47" s="161">
        <v>9.1</v>
      </c>
      <c r="R47" s="93" t="s">
        <v>885</v>
      </c>
      <c r="S47" s="93" t="s">
        <v>886</v>
      </c>
      <c r="T47" s="128" t="s">
        <v>215</v>
      </c>
      <c r="U47" s="128" t="s">
        <v>242</v>
      </c>
      <c r="V47" s="106" t="s">
        <v>247</v>
      </c>
      <c r="W47" s="105" t="s">
        <v>248</v>
      </c>
      <c r="X47" s="138" t="s">
        <v>298</v>
      </c>
      <c r="Y47" s="180">
        <v>52977807354</v>
      </c>
      <c r="Z47" s="2" t="s">
        <v>665</v>
      </c>
      <c r="AA47" s="2" t="s">
        <v>666</v>
      </c>
      <c r="AB47" s="2" t="s">
        <v>253</v>
      </c>
      <c r="AD47" s="15">
        <v>28613</v>
      </c>
      <c r="AF47" s="160">
        <f t="shared" si="6"/>
        <v>3</v>
      </c>
      <c r="AG47" s="160">
        <f t="shared" si="7"/>
        <v>5</v>
      </c>
      <c r="AH47" s="110">
        <v>37</v>
      </c>
      <c r="AJ47" s="2" t="s">
        <v>667</v>
      </c>
      <c r="AK47" s="2" t="s">
        <v>668</v>
      </c>
      <c r="AL47" s="2" t="s">
        <v>669</v>
      </c>
      <c r="AM47" s="2" t="s">
        <v>305</v>
      </c>
      <c r="AN47" s="2" t="s">
        <v>257</v>
      </c>
      <c r="AO47" s="2" t="s">
        <v>253</v>
      </c>
      <c r="AP47" s="180">
        <v>28140</v>
      </c>
      <c r="AQ47" s="162">
        <v>3252884</v>
      </c>
      <c r="AR47" s="176">
        <v>3131130140</v>
      </c>
      <c r="AU47" s="2" t="s">
        <v>266</v>
      </c>
      <c r="AW47" s="1" t="s">
        <v>670</v>
      </c>
      <c r="AX47" s="1" t="s">
        <v>261</v>
      </c>
    </row>
    <row r="48" spans="1:50" x14ac:dyDescent="0.2">
      <c r="A48" s="169">
        <v>237</v>
      </c>
      <c r="B48" s="139">
        <v>41802</v>
      </c>
      <c r="C48" s="176">
        <f t="shared" si="20"/>
        <v>12</v>
      </c>
      <c r="D48" s="176">
        <f t="shared" si="21"/>
        <v>6</v>
      </c>
      <c r="E48" s="16" t="str">
        <f>+LOOKUP(D48,'Factor Integración'!$L$4:$L$15,'Factor Integración'!$M$4:$M$15)</f>
        <v>Junio</v>
      </c>
      <c r="F48" s="176">
        <f t="shared" si="22"/>
        <v>2014</v>
      </c>
      <c r="G48" s="113" t="s">
        <v>136</v>
      </c>
      <c r="H48" s="182">
        <f>+IF(Q48&gt;0,(LOOKUP(Q48,Tabulador!C$34:C$93,Tabulador!D$34:D$93)/7),0)</f>
        <v>214.21428571428572</v>
      </c>
      <c r="I48" s="40">
        <f t="shared" ca="1" si="3"/>
        <v>42533</v>
      </c>
      <c r="J48" s="42">
        <f t="shared" ca="1" si="4"/>
        <v>2</v>
      </c>
      <c r="K48" s="38">
        <f ca="1">+IF(J48&gt;0,(LOOKUP(J48,'Factor Integración'!C$5:C$44,'Factor Integración'!G$5:G$44)),'Factor Integración'!$G$5)</f>
        <v>1.0465753424657533</v>
      </c>
      <c r="L48" s="125">
        <f>+IF(Q48&lt;&gt;0,LOOKUP(Q48,Tabulador!C$33:C$93,Tabulador!D$33:D$93),0)</f>
        <v>1499.5</v>
      </c>
      <c r="M48" s="127" t="str">
        <f>+IF(L48&gt;0,(LOOKUP(L48,Tabulador!E$33:E$93,Tabulador!F$33:F$93)),0)</f>
        <v>(UN MIL CUATROCIENTOS CINCUENTA  PESOS  00/100 M.N.)</v>
      </c>
      <c r="N48" s="17">
        <f t="shared" ca="1" si="5"/>
        <v>224.19138943248532</v>
      </c>
      <c r="O48" s="59" t="s">
        <v>27</v>
      </c>
      <c r="P48" s="50" t="s">
        <v>207</v>
      </c>
      <c r="Q48" s="161">
        <v>7.3</v>
      </c>
      <c r="R48" s="143" t="s">
        <v>149</v>
      </c>
      <c r="S48" s="93" t="s">
        <v>879</v>
      </c>
      <c r="T48" s="129" t="s">
        <v>210</v>
      </c>
      <c r="U48" s="129" t="s">
        <v>232</v>
      </c>
      <c r="V48" s="106" t="s">
        <v>247</v>
      </c>
      <c r="W48" s="105" t="s">
        <v>248</v>
      </c>
      <c r="X48" s="138" t="s">
        <v>298</v>
      </c>
      <c r="Y48" s="180">
        <v>52078600229</v>
      </c>
      <c r="Z48" s="2" t="s">
        <v>501</v>
      </c>
      <c r="AA48" s="2" t="s">
        <v>502</v>
      </c>
      <c r="AB48" s="2" t="s">
        <v>253</v>
      </c>
      <c r="AD48" s="15">
        <v>31727</v>
      </c>
      <c r="AF48" s="160">
        <f t="shared" si="6"/>
        <v>11</v>
      </c>
      <c r="AG48" s="160">
        <f t="shared" si="7"/>
        <v>11</v>
      </c>
      <c r="AH48" s="110">
        <v>29</v>
      </c>
      <c r="AJ48" s="2" t="s">
        <v>503</v>
      </c>
      <c r="AL48" s="2" t="s">
        <v>504</v>
      </c>
      <c r="AM48" s="2" t="s">
        <v>505</v>
      </c>
      <c r="AN48" s="2" t="s">
        <v>257</v>
      </c>
      <c r="AO48" s="2" t="s">
        <v>253</v>
      </c>
      <c r="AP48" s="180">
        <v>28140</v>
      </c>
      <c r="AR48" s="176">
        <v>3131187607</v>
      </c>
      <c r="AU48" s="2" t="s">
        <v>258</v>
      </c>
      <c r="AV48" s="2" t="s">
        <v>506</v>
      </c>
      <c r="AW48" s="1" t="s">
        <v>507</v>
      </c>
      <c r="AX48" s="10" t="s">
        <v>261</v>
      </c>
    </row>
    <row r="49" spans="1:50" x14ac:dyDescent="0.2">
      <c r="A49" s="169">
        <v>239</v>
      </c>
      <c r="B49" s="139">
        <v>41849</v>
      </c>
      <c r="C49" s="176">
        <f t="shared" si="20"/>
        <v>29</v>
      </c>
      <c r="D49" s="176">
        <f t="shared" si="21"/>
        <v>7</v>
      </c>
      <c r="E49" s="16" t="str">
        <f>+LOOKUP(D49,'Factor Integración'!$L$4:$L$15,'Factor Integración'!$M$4:$M$15)</f>
        <v>Julio</v>
      </c>
      <c r="F49" s="176">
        <f t="shared" si="22"/>
        <v>2014</v>
      </c>
      <c r="G49" s="113" t="s">
        <v>137</v>
      </c>
      <c r="H49" s="182">
        <f>+IF(Q49&gt;0,(LOOKUP(Q49,Tabulador!C$34:C$93,Tabulador!D$34:D$93)/7),0)</f>
        <v>214.21428571428572</v>
      </c>
      <c r="I49" s="40">
        <f t="shared" ca="1" si="3"/>
        <v>42214</v>
      </c>
      <c r="J49" s="42">
        <f t="shared" ca="1" si="4"/>
        <v>1</v>
      </c>
      <c r="K49" s="38">
        <f ca="1">+IF(J49&gt;0,(LOOKUP(J49,'Factor Integración'!C$5:C$44,'Factor Integración'!G$5:G$44)),'Factor Integración'!$G$5)</f>
        <v>1.0452054794520547</v>
      </c>
      <c r="L49" s="125">
        <f>+IF(Q49&lt;&gt;0,LOOKUP(Q49,Tabulador!C$33:C$93,Tabulador!D$33:D$93),0)</f>
        <v>1499.5</v>
      </c>
      <c r="M49" s="127" t="str">
        <f>+IF(L49&gt;0,(LOOKUP(L49,Tabulador!E$33:E$93,Tabulador!F$33:F$93)),0)</f>
        <v>(UN MIL CUATROCIENTOS CINCUENTA  PESOS  00/100 M.N.)</v>
      </c>
      <c r="N49" s="17">
        <f t="shared" ca="1" si="5"/>
        <v>223.89794520547943</v>
      </c>
      <c r="O49" s="59" t="s">
        <v>27</v>
      </c>
      <c r="P49" s="50" t="s">
        <v>207</v>
      </c>
      <c r="Q49" s="161">
        <v>7.3</v>
      </c>
      <c r="R49" s="143" t="s">
        <v>149</v>
      </c>
      <c r="S49" s="93" t="s">
        <v>879</v>
      </c>
      <c r="T49" s="129" t="s">
        <v>210</v>
      </c>
      <c r="U49" s="129" t="s">
        <v>226</v>
      </c>
      <c r="V49" s="106" t="s">
        <v>247</v>
      </c>
      <c r="W49" s="105" t="s">
        <v>248</v>
      </c>
      <c r="X49" s="138" t="s">
        <v>250</v>
      </c>
      <c r="Y49" s="180">
        <v>52068709345</v>
      </c>
      <c r="Z49" s="2" t="s">
        <v>527</v>
      </c>
      <c r="AA49" s="2" t="s">
        <v>528</v>
      </c>
      <c r="AB49" s="2" t="s">
        <v>253</v>
      </c>
      <c r="AD49" s="15">
        <v>31841</v>
      </c>
      <c r="AF49" s="160">
        <f t="shared" si="6"/>
        <v>5</v>
      </c>
      <c r="AG49" s="160">
        <f t="shared" si="7"/>
        <v>3</v>
      </c>
      <c r="AH49" s="110">
        <v>28</v>
      </c>
      <c r="AJ49" s="2" t="s">
        <v>529</v>
      </c>
      <c r="AK49" s="2" t="s">
        <v>530</v>
      </c>
      <c r="AL49" s="2" t="s">
        <v>531</v>
      </c>
      <c r="AM49" s="2" t="s">
        <v>337</v>
      </c>
      <c r="AN49" s="2" t="s">
        <v>257</v>
      </c>
      <c r="AO49" s="2" t="s">
        <v>253</v>
      </c>
      <c r="AQ49" s="162">
        <v>3247027</v>
      </c>
      <c r="AR49" s="176">
        <v>3133292453</v>
      </c>
      <c r="AU49" s="2" t="s">
        <v>356</v>
      </c>
      <c r="AV49" s="2" t="s">
        <v>532</v>
      </c>
      <c r="AW49" s="1" t="s">
        <v>533</v>
      </c>
      <c r="AX49" s="10" t="s">
        <v>261</v>
      </c>
    </row>
    <row r="50" spans="1:50" x14ac:dyDescent="0.2">
      <c r="A50" s="170">
        <v>240</v>
      </c>
      <c r="B50" s="139">
        <v>41635</v>
      </c>
      <c r="C50" s="176">
        <f t="shared" si="20"/>
        <v>27</v>
      </c>
      <c r="D50" s="176">
        <f t="shared" si="21"/>
        <v>12</v>
      </c>
      <c r="E50" s="16" t="str">
        <f>+LOOKUP(D50,'Factor Integración'!$L$4:$L$15,'Factor Integración'!$M$4:$M$15)</f>
        <v>Diciembre</v>
      </c>
      <c r="F50" s="176">
        <f t="shared" si="22"/>
        <v>2013</v>
      </c>
      <c r="G50" s="113" t="s">
        <v>138</v>
      </c>
      <c r="H50" s="182">
        <f>+IF(Q50&gt;0,(LOOKUP(Q50,Tabulador!C$34:C$93,Tabulador!D$34:D$93)/7),0)</f>
        <v>157.08589348571431</v>
      </c>
      <c r="I50" s="40">
        <f t="shared" ca="1" si="3"/>
        <v>42365</v>
      </c>
      <c r="J50" s="42">
        <f t="shared" ca="1" si="4"/>
        <v>2</v>
      </c>
      <c r="K50" s="38">
        <f ca="1">+IF(J50&gt;0,(LOOKUP(J50,'Factor Integración'!C$5:C$44,'Factor Integración'!G$5:G$44)),'Factor Integración'!$G$5)</f>
        <v>1.0465753424657533</v>
      </c>
      <c r="L50" s="125">
        <f>+IF(Q50&lt;&gt;0,LOOKUP(Q50,Tabulador!C$33:C$93,Tabulador!D$33:D$93),0)</f>
        <v>1099.6012544000002</v>
      </c>
      <c r="M50" s="127" t="str">
        <f>+IF(L50&gt;0,(LOOKUP(L50,Tabulador!E$33:E$93,Tabulador!F$33:F$93)),0)</f>
        <v>(UN MIL  PESOS  00/100 M.N.)</v>
      </c>
      <c r="N50" s="17">
        <f t="shared" ca="1" si="5"/>
        <v>164.4022227713503</v>
      </c>
      <c r="O50" s="59" t="s">
        <v>27</v>
      </c>
      <c r="P50" s="50" t="s">
        <v>207</v>
      </c>
      <c r="Q50" s="161">
        <v>5.4</v>
      </c>
      <c r="R50" s="143" t="s">
        <v>149</v>
      </c>
      <c r="S50" s="93" t="s">
        <v>879</v>
      </c>
      <c r="T50" s="129" t="s">
        <v>210</v>
      </c>
      <c r="U50" s="129" t="s">
        <v>240</v>
      </c>
      <c r="V50" s="106" t="s">
        <v>247</v>
      </c>
      <c r="W50" s="105" t="s">
        <v>248</v>
      </c>
      <c r="X50" s="138" t="s">
        <v>298</v>
      </c>
      <c r="Y50" s="180">
        <v>52139414503</v>
      </c>
      <c r="Z50" s="2" t="s">
        <v>630</v>
      </c>
      <c r="AA50" s="2" t="s">
        <v>629</v>
      </c>
      <c r="AB50" s="2" t="s">
        <v>253</v>
      </c>
      <c r="AD50" s="15">
        <v>34457</v>
      </c>
      <c r="AF50" s="160">
        <f t="shared" si="6"/>
        <v>3</v>
      </c>
      <c r="AG50" s="160">
        <f t="shared" si="7"/>
        <v>5</v>
      </c>
      <c r="AH50" s="110">
        <v>21</v>
      </c>
      <c r="AJ50" s="2" t="s">
        <v>631</v>
      </c>
      <c r="AK50" s="2" t="s">
        <v>632</v>
      </c>
      <c r="AL50" s="2" t="s">
        <v>903</v>
      </c>
      <c r="AM50" s="2" t="s">
        <v>388</v>
      </c>
      <c r="AN50" s="2" t="s">
        <v>257</v>
      </c>
      <c r="AO50" s="2" t="s">
        <v>253</v>
      </c>
      <c r="AP50" s="180">
        <v>28111</v>
      </c>
      <c r="AR50" s="176">
        <v>3121492210</v>
      </c>
      <c r="AU50" s="2" t="s">
        <v>266</v>
      </c>
      <c r="AX50" s="10" t="s">
        <v>261</v>
      </c>
    </row>
    <row r="51" spans="1:50" x14ac:dyDescent="0.2">
      <c r="A51" s="170">
        <v>241</v>
      </c>
      <c r="B51" s="139">
        <v>41837</v>
      </c>
      <c r="C51" s="176">
        <f t="shared" si="20"/>
        <v>17</v>
      </c>
      <c r="D51" s="176">
        <f t="shared" si="21"/>
        <v>7</v>
      </c>
      <c r="E51" s="16" t="str">
        <f>+LOOKUP(D51,'Factor Integración'!$L$4:$L$15,'Factor Integración'!$M$4:$M$15)</f>
        <v>Julio</v>
      </c>
      <c r="F51" s="176">
        <f t="shared" si="22"/>
        <v>2014</v>
      </c>
      <c r="G51" s="113" t="s">
        <v>139</v>
      </c>
      <c r="H51" s="182">
        <f>+IF(Q51&gt;0,(LOOKUP(Q51,Tabulador!C$34:C$93,Tabulador!D$34:D$93)/7),0)</f>
        <v>157.08589348571431</v>
      </c>
      <c r="I51" s="40">
        <f t="shared" ca="1" si="3"/>
        <v>42202</v>
      </c>
      <c r="J51" s="42">
        <f t="shared" ca="1" si="4"/>
        <v>1</v>
      </c>
      <c r="K51" s="38">
        <f ca="1">+IF(J51&gt;0,(LOOKUP(J51,'Factor Integración'!C$5:C$44,'Factor Integración'!G$5:G$44)),'Factor Integración'!$G$5)</f>
        <v>1.0452054794520547</v>
      </c>
      <c r="L51" s="125">
        <f>+IF(Q51&lt;&gt;0,LOOKUP(Q51,Tabulador!C$33:C$93,Tabulador!D$33:D$93),0)</f>
        <v>1099.6012544000002</v>
      </c>
      <c r="M51" s="127" t="str">
        <f>+IF(L51&gt;0,(LOOKUP(L51,Tabulador!E$33:E$93,Tabulador!F$33:F$93)),0)</f>
        <v>(UN MIL  PESOS  00/100 M.N.)</v>
      </c>
      <c r="N51" s="17">
        <f t="shared" ca="1" si="5"/>
        <v>164.18703661589041</v>
      </c>
      <c r="O51" s="59" t="s">
        <v>27</v>
      </c>
      <c r="P51" s="50" t="s">
        <v>207</v>
      </c>
      <c r="Q51" s="161">
        <v>5.4</v>
      </c>
      <c r="R51" s="143" t="s">
        <v>149</v>
      </c>
      <c r="S51" s="93" t="s">
        <v>879</v>
      </c>
      <c r="T51" s="129" t="s">
        <v>210</v>
      </c>
      <c r="U51" s="129" t="s">
        <v>226</v>
      </c>
      <c r="V51" s="106" t="s">
        <v>247</v>
      </c>
      <c r="W51" s="105" t="s">
        <v>248</v>
      </c>
      <c r="X51" s="138" t="s">
        <v>298</v>
      </c>
      <c r="Y51" s="180">
        <v>52138803839</v>
      </c>
      <c r="Z51" s="2" t="s">
        <v>557</v>
      </c>
      <c r="AA51" s="2" t="s">
        <v>556</v>
      </c>
      <c r="AB51" s="2" t="s">
        <v>253</v>
      </c>
      <c r="AD51" s="15">
        <v>32332</v>
      </c>
      <c r="AF51" s="160">
        <f t="shared" si="6"/>
        <v>8</v>
      </c>
      <c r="AG51" s="160">
        <f t="shared" si="7"/>
        <v>7</v>
      </c>
      <c r="AH51" s="110">
        <v>27</v>
      </c>
      <c r="AJ51" s="2" t="s">
        <v>558</v>
      </c>
      <c r="AK51" s="2" t="s">
        <v>559</v>
      </c>
      <c r="AL51" s="2" t="s">
        <v>560</v>
      </c>
      <c r="AM51" s="2" t="s">
        <v>561</v>
      </c>
      <c r="AN51" s="2" t="s">
        <v>257</v>
      </c>
      <c r="AO51" s="2" t="s">
        <v>253</v>
      </c>
      <c r="AR51" s="176">
        <v>3139623984</v>
      </c>
      <c r="AU51" s="2" t="s">
        <v>266</v>
      </c>
      <c r="AX51" s="10" t="s">
        <v>261</v>
      </c>
    </row>
    <row r="52" spans="1:50" x14ac:dyDescent="0.2">
      <c r="A52" s="169">
        <v>242</v>
      </c>
      <c r="B52" s="139">
        <v>41753</v>
      </c>
      <c r="C52" s="176">
        <f t="shared" si="20"/>
        <v>24</v>
      </c>
      <c r="D52" s="176">
        <f t="shared" si="21"/>
        <v>4</v>
      </c>
      <c r="E52" s="16" t="str">
        <f>+LOOKUP(D52,'Factor Integración'!$L$4:$L$15,'Factor Integración'!$M$4:$M$15)</f>
        <v>Abril</v>
      </c>
      <c r="F52" s="176">
        <f t="shared" si="22"/>
        <v>2014</v>
      </c>
      <c r="G52" s="112" t="s">
        <v>140</v>
      </c>
      <c r="H52" s="182">
        <f>+IF(Q52&gt;0,(LOOKUP(Q52,Tabulador!C$34:C$93,Tabulador!D$34:D$93)/7),0)</f>
        <v>171.42857142857142</v>
      </c>
      <c r="I52" s="40">
        <f t="shared" ca="1" si="3"/>
        <v>42484</v>
      </c>
      <c r="J52" s="42">
        <f t="shared" ca="1" si="4"/>
        <v>2</v>
      </c>
      <c r="K52" s="38">
        <f ca="1">+IF(J52&gt;0,(LOOKUP(J52,'Factor Integración'!C$5:C$44,'Factor Integración'!G$5:G$44)),'Factor Integración'!$G$5)</f>
        <v>1.0465753424657533</v>
      </c>
      <c r="L52" s="125">
        <f>+IF(Q52&lt;&gt;0,LOOKUP(Q52,Tabulador!C$33:C$93,Tabulador!D$33:D$93),0)</f>
        <v>1200</v>
      </c>
      <c r="M52" s="127" t="str">
        <f>+IF(L52&gt;0,(LOOKUP(L52,Tabulador!E$33:E$93,Tabulador!F$33:F$93)),0)</f>
        <v>(UN MIL DOSCIENTOS  PESOS  00/100 M.N.)</v>
      </c>
      <c r="N52" s="17">
        <f t="shared" ca="1" si="5"/>
        <v>179.41291585127198</v>
      </c>
      <c r="O52" s="59" t="s">
        <v>27</v>
      </c>
      <c r="P52" s="50" t="s">
        <v>207</v>
      </c>
      <c r="Q52" s="161">
        <v>6.1</v>
      </c>
      <c r="R52" s="143" t="s">
        <v>149</v>
      </c>
      <c r="S52" s="93" t="s">
        <v>879</v>
      </c>
      <c r="T52" s="128" t="s">
        <v>211</v>
      </c>
      <c r="U52" s="128" t="s">
        <v>225</v>
      </c>
      <c r="V52" s="106" t="s">
        <v>247</v>
      </c>
      <c r="W52" s="105" t="s">
        <v>248</v>
      </c>
      <c r="X52" s="138" t="s">
        <v>298</v>
      </c>
      <c r="Y52" s="180">
        <v>50149601473</v>
      </c>
      <c r="Z52" s="2" t="s">
        <v>364</v>
      </c>
      <c r="AA52" s="2" t="s">
        <v>365</v>
      </c>
      <c r="AB52" s="2" t="s">
        <v>253</v>
      </c>
      <c r="AD52" s="15">
        <v>35183</v>
      </c>
      <c r="AF52" s="160">
        <f t="shared" si="6"/>
        <v>28</v>
      </c>
      <c r="AG52" s="160">
        <f t="shared" si="7"/>
        <v>4</v>
      </c>
      <c r="AH52" s="110">
        <v>19</v>
      </c>
      <c r="AJ52" s="2" t="s">
        <v>366</v>
      </c>
      <c r="AK52" s="2" t="s">
        <v>367</v>
      </c>
      <c r="AL52" s="2" t="s">
        <v>368</v>
      </c>
      <c r="AM52" s="2" t="s">
        <v>265</v>
      </c>
      <c r="AN52" s="2" t="s">
        <v>285</v>
      </c>
      <c r="AO52" s="2" t="s">
        <v>253</v>
      </c>
      <c r="AP52" s="180">
        <v>28130</v>
      </c>
      <c r="AR52" s="176">
        <v>3131002747</v>
      </c>
      <c r="AU52" s="2" t="s">
        <v>266</v>
      </c>
      <c r="AX52" s="10" t="s">
        <v>261</v>
      </c>
    </row>
    <row r="53" spans="1:50" x14ac:dyDescent="0.2">
      <c r="A53" s="170">
        <v>243</v>
      </c>
      <c r="B53" s="139">
        <v>41851</v>
      </c>
      <c r="C53" s="176">
        <f t="shared" si="20"/>
        <v>31</v>
      </c>
      <c r="D53" s="176">
        <f t="shared" si="21"/>
        <v>7</v>
      </c>
      <c r="E53" s="16" t="str">
        <f>+LOOKUP(D53,'Factor Integración'!$L$4:$L$15,'Factor Integración'!$M$4:$M$15)</f>
        <v>Julio</v>
      </c>
      <c r="F53" s="176">
        <f t="shared" si="22"/>
        <v>2014</v>
      </c>
      <c r="G53" s="112" t="s">
        <v>141</v>
      </c>
      <c r="H53" s="182">
        <f>+IF(Q53&gt;0,(LOOKUP(Q53,Tabulador!C$34:C$93,Tabulador!D$34:D$93)/7),0)</f>
        <v>157.08589348571431</v>
      </c>
      <c r="I53" s="40">
        <f t="shared" ca="1" si="3"/>
        <v>42216</v>
      </c>
      <c r="J53" s="42">
        <f t="shared" ca="1" si="4"/>
        <v>1</v>
      </c>
      <c r="K53" s="38">
        <f ca="1">+IF(J53&gt;0,(LOOKUP(J53,'Factor Integración'!C$5:C$44,'Factor Integración'!G$5:G$44)),'Factor Integración'!$G$5)</f>
        <v>1.0452054794520547</v>
      </c>
      <c r="L53" s="125">
        <f>+IF(Q53&lt;&gt;0,LOOKUP(Q53,Tabulador!C$33:C$93,Tabulador!D$33:D$93),0)</f>
        <v>1099.6012544000002</v>
      </c>
      <c r="M53" s="127" t="str">
        <f>+IF(L53&gt;0,(LOOKUP(L53,Tabulador!E$33:E$93,Tabulador!F$33:F$93)),0)</f>
        <v>(UN MIL  PESOS  00/100 M.N.)</v>
      </c>
      <c r="N53" s="17">
        <f t="shared" ca="1" si="5"/>
        <v>164.18703661589041</v>
      </c>
      <c r="O53" s="59" t="s">
        <v>27</v>
      </c>
      <c r="P53" s="50" t="s">
        <v>207</v>
      </c>
      <c r="Q53" s="161">
        <v>5.4</v>
      </c>
      <c r="R53" s="143" t="s">
        <v>149</v>
      </c>
      <c r="S53" s="93" t="s">
        <v>879</v>
      </c>
      <c r="T53" s="128" t="s">
        <v>222</v>
      </c>
      <c r="U53" s="128" t="s">
        <v>222</v>
      </c>
      <c r="V53" s="106" t="s">
        <v>247</v>
      </c>
      <c r="W53" s="105" t="s">
        <v>248</v>
      </c>
      <c r="X53" s="138" t="s">
        <v>298</v>
      </c>
      <c r="Y53" s="180">
        <v>35149110955</v>
      </c>
      <c r="Z53" s="2" t="s">
        <v>490</v>
      </c>
      <c r="AA53" s="2" t="s">
        <v>491</v>
      </c>
      <c r="AB53" s="2" t="s">
        <v>253</v>
      </c>
      <c r="AD53" s="15">
        <v>33335</v>
      </c>
      <c r="AF53" s="160">
        <f t="shared" si="6"/>
        <v>7</v>
      </c>
      <c r="AG53" s="160">
        <f t="shared" si="7"/>
        <v>4</v>
      </c>
      <c r="AH53" s="110">
        <v>24</v>
      </c>
      <c r="AJ53" s="2" t="s">
        <v>492</v>
      </c>
      <c r="AK53" s="2" t="s">
        <v>493</v>
      </c>
      <c r="AL53" s="2" t="s">
        <v>906</v>
      </c>
      <c r="AM53" s="2" t="s">
        <v>907</v>
      </c>
      <c r="AN53" s="2" t="s">
        <v>257</v>
      </c>
      <c r="AO53" s="2" t="s">
        <v>253</v>
      </c>
      <c r="AP53" s="180">
        <v>28160</v>
      </c>
      <c r="AR53" s="176">
        <v>3131154906</v>
      </c>
      <c r="AU53" s="2" t="s">
        <v>266</v>
      </c>
      <c r="AW53" s="1" t="s">
        <v>494</v>
      </c>
      <c r="AX53" s="10" t="s">
        <v>261</v>
      </c>
    </row>
    <row r="54" spans="1:50" x14ac:dyDescent="0.2">
      <c r="A54" s="170">
        <v>244</v>
      </c>
      <c r="B54" s="139">
        <v>41830</v>
      </c>
      <c r="C54" s="176">
        <f t="shared" si="20"/>
        <v>10</v>
      </c>
      <c r="D54" s="176">
        <f t="shared" si="21"/>
        <v>7</v>
      </c>
      <c r="E54" s="16" t="str">
        <f>+LOOKUP(D54,'Factor Integración'!$L$4:$L$15,'Factor Integración'!$M$4:$M$15)</f>
        <v>Julio</v>
      </c>
      <c r="F54" s="176">
        <f t="shared" si="22"/>
        <v>2014</v>
      </c>
      <c r="G54" s="112" t="s">
        <v>142</v>
      </c>
      <c r="H54" s="182">
        <f>+IF(Q54&gt;0,(LOOKUP(Q54,Tabulador!C$34:C$93,Tabulador!D$34:D$93)/7),0)</f>
        <v>285.71428571428572</v>
      </c>
      <c r="I54" s="40">
        <f t="shared" ca="1" si="3"/>
        <v>42561</v>
      </c>
      <c r="J54" s="42">
        <f t="shared" ca="1" si="4"/>
        <v>2</v>
      </c>
      <c r="K54" s="38">
        <f ca="1">+IF(J54&gt;0,(LOOKUP(J54,'Factor Integración'!C$5:C$44,'Factor Integración'!G$5:G$44)),'Factor Integración'!$G$5)</f>
        <v>1.0465753424657533</v>
      </c>
      <c r="L54" s="125">
        <f>+IF(Q54&lt;&gt;0,LOOKUP(Q54,Tabulador!C$33:C$93,Tabulador!D$33:D$93),0)</f>
        <v>2000</v>
      </c>
      <c r="M54" s="127" t="str">
        <f>+IF(L54&gt;0,(LOOKUP(L54,Tabulador!E$33:E$93,Tabulador!F$33:F$93)),0)</f>
        <v>(DOS MIL  PESOS  00/100 M.N.)</v>
      </c>
      <c r="N54" s="17">
        <f t="shared" ca="1" si="5"/>
        <v>299.02152641878666</v>
      </c>
      <c r="O54" s="59" t="s">
        <v>27</v>
      </c>
      <c r="P54" s="50" t="s">
        <v>207</v>
      </c>
      <c r="Q54" s="161">
        <v>9.1</v>
      </c>
      <c r="R54" s="93" t="s">
        <v>885</v>
      </c>
      <c r="S54" s="93" t="s">
        <v>886</v>
      </c>
      <c r="T54" s="128" t="s">
        <v>215</v>
      </c>
      <c r="U54" s="128" t="s">
        <v>241</v>
      </c>
      <c r="V54" s="106" t="s">
        <v>247</v>
      </c>
      <c r="W54" s="105" t="s">
        <v>248</v>
      </c>
      <c r="X54" s="138" t="s">
        <v>298</v>
      </c>
      <c r="Y54" s="180">
        <v>52048300348</v>
      </c>
      <c r="Z54" s="2" t="s">
        <v>660</v>
      </c>
      <c r="AA54" s="2" t="s">
        <v>661</v>
      </c>
      <c r="AB54" s="2" t="s">
        <v>253</v>
      </c>
      <c r="AD54" s="15">
        <v>30549</v>
      </c>
      <c r="AF54" s="160">
        <f t="shared" si="6"/>
        <v>21</v>
      </c>
      <c r="AG54" s="160">
        <f t="shared" si="7"/>
        <v>8</v>
      </c>
      <c r="AH54" s="110">
        <v>32</v>
      </c>
      <c r="AJ54" s="2" t="s">
        <v>662</v>
      </c>
      <c r="AK54" s="2" t="s">
        <v>663</v>
      </c>
      <c r="AL54" s="2" t="s">
        <v>891</v>
      </c>
      <c r="AM54" s="2" t="s">
        <v>278</v>
      </c>
      <c r="AN54" s="2" t="s">
        <v>257</v>
      </c>
      <c r="AO54" s="2" t="s">
        <v>253</v>
      </c>
      <c r="AQ54" s="162">
        <v>3123156067</v>
      </c>
      <c r="AR54" s="176">
        <v>3121045827</v>
      </c>
      <c r="AU54" s="2" t="s">
        <v>266</v>
      </c>
      <c r="AW54" s="1" t="s">
        <v>664</v>
      </c>
      <c r="AX54" s="1" t="s">
        <v>261</v>
      </c>
    </row>
    <row r="55" spans="1:50" x14ac:dyDescent="0.2">
      <c r="A55" s="169">
        <v>247</v>
      </c>
      <c r="B55" s="145">
        <v>41900</v>
      </c>
      <c r="C55" s="176">
        <f t="shared" si="20"/>
        <v>18</v>
      </c>
      <c r="D55" s="176">
        <f t="shared" si="21"/>
        <v>9</v>
      </c>
      <c r="E55" s="16" t="str">
        <f>+LOOKUP(D55,'Factor Integración'!$L$4:$L$15,'Factor Integración'!$M$4:$M$15)</f>
        <v>Septiembre</v>
      </c>
      <c r="F55" s="176">
        <f t="shared" si="22"/>
        <v>2014</v>
      </c>
      <c r="G55" s="119" t="s">
        <v>892</v>
      </c>
      <c r="H55" s="182">
        <f>+IF(Q55&gt;0,(LOOKUP(Q55,Tabulador!C$34:C$93,Tabulador!D$34:D$93)/7),0)</f>
        <v>214.21428571428572</v>
      </c>
      <c r="I55" s="40">
        <f t="shared" ca="1" si="3"/>
        <v>42265</v>
      </c>
      <c r="J55" s="42">
        <f t="shared" ca="1" si="4"/>
        <v>1</v>
      </c>
      <c r="K55" s="38">
        <f ca="1">+IF(J55&gt;0,(LOOKUP(J55,'Factor Integración'!C$5:C$44,'Factor Integración'!G$5:G$44)),'Factor Integración'!$G$5)</f>
        <v>1.0452054794520547</v>
      </c>
      <c r="L55" s="125">
        <f>+IF(Q55&lt;&gt;0,LOOKUP(Q55,Tabulador!C$33:C$93,Tabulador!D$33:D$93),0)</f>
        <v>1499.5</v>
      </c>
      <c r="M55" s="127" t="str">
        <f>+IF(L55&gt;0,(LOOKUP(L55,Tabulador!E$33:E$93,Tabulador!F$33:F$93)),0)</f>
        <v>(UN MIL CUATROCIENTOS CINCUENTA  PESOS  00/100 M.N.)</v>
      </c>
      <c r="N55" s="17">
        <f t="shared" ca="1" si="5"/>
        <v>223.89794520547943</v>
      </c>
      <c r="O55" s="59" t="s">
        <v>27</v>
      </c>
      <c r="P55" s="50" t="s">
        <v>207</v>
      </c>
      <c r="Q55" s="161">
        <v>7.3</v>
      </c>
      <c r="R55" s="93" t="s">
        <v>885</v>
      </c>
      <c r="S55" s="93" t="s">
        <v>886</v>
      </c>
      <c r="T55" s="128" t="s">
        <v>220</v>
      </c>
      <c r="U55" s="128" t="s">
        <v>243</v>
      </c>
      <c r="V55" s="106" t="s">
        <v>247</v>
      </c>
      <c r="W55" s="105" t="s">
        <v>248</v>
      </c>
      <c r="X55" s="138" t="s">
        <v>298</v>
      </c>
      <c r="Y55" s="180">
        <v>52957807549</v>
      </c>
      <c r="Z55" s="2" t="s">
        <v>849</v>
      </c>
      <c r="AA55" s="2" t="s">
        <v>850</v>
      </c>
      <c r="AB55" s="2" t="s">
        <v>253</v>
      </c>
      <c r="AD55" s="139">
        <v>31779</v>
      </c>
      <c r="AF55" s="160">
        <f t="shared" si="6"/>
        <v>2</v>
      </c>
      <c r="AG55" s="160">
        <f t="shared" si="7"/>
        <v>1</v>
      </c>
      <c r="AH55" s="110">
        <v>28</v>
      </c>
      <c r="AJ55" s="2" t="s">
        <v>72</v>
      </c>
      <c r="AL55" s="2" t="s">
        <v>851</v>
      </c>
      <c r="AM55" s="2" t="s">
        <v>311</v>
      </c>
      <c r="AN55" s="2" t="s">
        <v>257</v>
      </c>
      <c r="AO55" s="2" t="s">
        <v>253</v>
      </c>
      <c r="AP55" s="180">
        <v>28101</v>
      </c>
      <c r="AX55" s="1" t="s">
        <v>261</v>
      </c>
    </row>
    <row r="56" spans="1:50" x14ac:dyDescent="0.2">
      <c r="A56" s="170">
        <v>249</v>
      </c>
      <c r="B56" s="139">
        <v>41834</v>
      </c>
      <c r="C56" s="176">
        <f t="shared" si="20"/>
        <v>14</v>
      </c>
      <c r="D56" s="176">
        <f t="shared" si="21"/>
        <v>7</v>
      </c>
      <c r="E56" s="16" t="str">
        <f>+LOOKUP(D56,'Factor Integración'!$L$4:$L$15,'Factor Integración'!$M$4:$M$15)</f>
        <v>Julio</v>
      </c>
      <c r="F56" s="176">
        <f t="shared" si="22"/>
        <v>2014</v>
      </c>
      <c r="G56" s="113" t="s">
        <v>143</v>
      </c>
      <c r="H56" s="182">
        <f>+IF(Q56&gt;0,(LOOKUP(Q56,Tabulador!C$34:C$93,Tabulador!D$34:D$93)/7),0)</f>
        <v>157.08589348571431</v>
      </c>
      <c r="I56" s="40">
        <f t="shared" ca="1" si="3"/>
        <v>42565</v>
      </c>
      <c r="J56" s="42">
        <f t="shared" ca="1" si="4"/>
        <v>2</v>
      </c>
      <c r="K56" s="38">
        <f ca="1">+IF(J56&gt;0,(LOOKUP(J56,'Factor Integración'!C$5:C$44,'Factor Integración'!G$5:G$44)),'Factor Integración'!$G$5)</f>
        <v>1.0465753424657533</v>
      </c>
      <c r="L56" s="125">
        <f>+IF(Q56&lt;&gt;0,LOOKUP(Q56,Tabulador!C$33:C$93,Tabulador!D$33:D$93),0)</f>
        <v>1099.6012544000002</v>
      </c>
      <c r="M56" s="127" t="str">
        <f>+IF(L56&gt;0,(LOOKUP(L56,Tabulador!E$33:E$93,Tabulador!F$33:F$93)),0)</f>
        <v>(UN MIL  PESOS  00/100 M.N.)</v>
      </c>
      <c r="N56" s="17">
        <f t="shared" ca="1" si="5"/>
        <v>164.4022227713503</v>
      </c>
      <c r="O56" s="59" t="s">
        <v>27</v>
      </c>
      <c r="P56" s="50" t="s">
        <v>207</v>
      </c>
      <c r="Q56" s="161">
        <v>5.4</v>
      </c>
      <c r="R56" s="143" t="s">
        <v>149</v>
      </c>
      <c r="S56" s="93" t="s">
        <v>879</v>
      </c>
      <c r="T56" s="129" t="s">
        <v>210</v>
      </c>
      <c r="U56" s="129" t="s">
        <v>226</v>
      </c>
      <c r="V56" s="106" t="s">
        <v>247</v>
      </c>
      <c r="W56" s="105" t="s">
        <v>248</v>
      </c>
      <c r="X56" s="138" t="s">
        <v>298</v>
      </c>
      <c r="Y56" s="180">
        <v>52129317070</v>
      </c>
      <c r="Z56" s="2" t="s">
        <v>541</v>
      </c>
      <c r="AA56" s="2" t="s">
        <v>542</v>
      </c>
      <c r="AB56" s="2" t="s">
        <v>253</v>
      </c>
      <c r="AD56" s="15">
        <v>34117</v>
      </c>
      <c r="AF56" s="160">
        <f t="shared" si="6"/>
        <v>28</v>
      </c>
      <c r="AG56" s="160">
        <f t="shared" si="7"/>
        <v>5</v>
      </c>
      <c r="AH56" s="110">
        <v>22</v>
      </c>
      <c r="AJ56" s="2" t="s">
        <v>543</v>
      </c>
      <c r="AK56" s="2" t="s">
        <v>544</v>
      </c>
      <c r="AL56" s="2" t="s">
        <v>923</v>
      </c>
      <c r="AM56" s="2" t="s">
        <v>421</v>
      </c>
      <c r="AN56" s="2" t="s">
        <v>257</v>
      </c>
      <c r="AO56" s="2" t="s">
        <v>253</v>
      </c>
      <c r="AR56" s="176">
        <v>3131062252</v>
      </c>
      <c r="AU56" s="2" t="s">
        <v>356</v>
      </c>
      <c r="AV56" s="2" t="s">
        <v>545</v>
      </c>
      <c r="AX56" s="1" t="s">
        <v>261</v>
      </c>
    </row>
    <row r="57" spans="1:50" x14ac:dyDescent="0.2">
      <c r="A57" s="170">
        <v>251</v>
      </c>
      <c r="B57" s="139">
        <v>41842</v>
      </c>
      <c r="C57" s="176">
        <f t="shared" si="20"/>
        <v>22</v>
      </c>
      <c r="D57" s="176">
        <f t="shared" si="21"/>
        <v>7</v>
      </c>
      <c r="E57" s="16" t="str">
        <f>+LOOKUP(D57,'Factor Integración'!$L$4:$L$15,'Factor Integración'!$M$4:$M$15)</f>
        <v>Julio</v>
      </c>
      <c r="F57" s="176">
        <f t="shared" si="22"/>
        <v>2014</v>
      </c>
      <c r="G57" s="112" t="s">
        <v>944</v>
      </c>
      <c r="H57" s="182">
        <f>+IF(Q57&gt;0,(LOOKUP(Q57,Tabulador!C$34:C$93,Tabulador!D$34:D$93)/7),0)</f>
        <v>214.21428571428572</v>
      </c>
      <c r="I57" s="40">
        <f t="shared" ca="1" si="3"/>
        <v>42207</v>
      </c>
      <c r="J57" s="42">
        <f t="shared" ca="1" si="4"/>
        <v>1</v>
      </c>
      <c r="K57" s="38">
        <f ca="1">+IF(J57&gt;0,(LOOKUP(J57,'Factor Integración'!C$5:C$44,'Factor Integración'!G$5:G$44)),'Factor Integración'!$G$5)</f>
        <v>1.0452054794520547</v>
      </c>
      <c r="L57" s="125">
        <f>+IF(Q57&lt;&gt;0,LOOKUP(Q57,Tabulador!C$33:C$93,Tabulador!D$33:D$93),0)</f>
        <v>1499.5</v>
      </c>
      <c r="M57" s="127" t="str">
        <f>+IF(L57&gt;0,(LOOKUP(L57,Tabulador!E$33:E$93,Tabulador!F$33:F$93)),0)</f>
        <v>(UN MIL CUATROCIENTOS CINCUENTA  PESOS  00/100 M.N.)</v>
      </c>
      <c r="N57" s="17">
        <f t="shared" ca="1" si="5"/>
        <v>223.89794520547943</v>
      </c>
      <c r="O57" s="59" t="s">
        <v>27</v>
      </c>
      <c r="P57" s="50" t="s">
        <v>207</v>
      </c>
      <c r="Q57" s="161">
        <v>7.3</v>
      </c>
      <c r="R57" s="93" t="s">
        <v>885</v>
      </c>
      <c r="S57" s="93" t="s">
        <v>886</v>
      </c>
      <c r="T57" s="128" t="s">
        <v>215</v>
      </c>
      <c r="U57" s="128" t="s">
        <v>684</v>
      </c>
      <c r="V57" s="106" t="s">
        <v>247</v>
      </c>
      <c r="W57" s="105" t="s">
        <v>248</v>
      </c>
      <c r="X57" s="138" t="s">
        <v>250</v>
      </c>
      <c r="Y57" s="180">
        <v>52119300839</v>
      </c>
      <c r="Z57" s="2" t="s">
        <v>692</v>
      </c>
      <c r="AA57" s="2" t="s">
        <v>693</v>
      </c>
      <c r="AB57" s="2" t="s">
        <v>253</v>
      </c>
      <c r="AD57" s="139">
        <v>33974</v>
      </c>
      <c r="AF57" s="160">
        <f t="shared" si="6"/>
        <v>5</v>
      </c>
      <c r="AG57" s="160">
        <f t="shared" si="7"/>
        <v>1</v>
      </c>
      <c r="AH57" s="110">
        <v>22</v>
      </c>
      <c r="AJ57" s="2" t="s">
        <v>694</v>
      </c>
      <c r="AK57" s="2" t="s">
        <v>695</v>
      </c>
      <c r="AL57" s="2" t="s">
        <v>696</v>
      </c>
      <c r="AM57" s="2" t="s">
        <v>697</v>
      </c>
      <c r="AN57" s="2" t="s">
        <v>257</v>
      </c>
      <c r="AO57" s="2" t="s">
        <v>253</v>
      </c>
      <c r="AP57" s="180">
        <v>28140</v>
      </c>
      <c r="AR57" s="176">
        <v>3133291212</v>
      </c>
      <c r="AU57" s="2" t="s">
        <v>356</v>
      </c>
      <c r="AV57" s="2" t="s">
        <v>698</v>
      </c>
      <c r="AX57" s="1" t="s">
        <v>261</v>
      </c>
    </row>
    <row r="58" spans="1:50" x14ac:dyDescent="0.2">
      <c r="A58" s="170">
        <v>252</v>
      </c>
      <c r="B58" s="139">
        <v>41922</v>
      </c>
      <c r="C58" s="176">
        <f t="shared" si="20"/>
        <v>10</v>
      </c>
      <c r="D58" s="176">
        <f t="shared" si="21"/>
        <v>10</v>
      </c>
      <c r="E58" s="16" t="str">
        <f>+LOOKUP(D58,'Factor Integración'!$L$4:$L$15,'Factor Integración'!$M$4:$M$15)</f>
        <v>Octubre</v>
      </c>
      <c r="F58" s="176">
        <f t="shared" si="22"/>
        <v>2014</v>
      </c>
      <c r="G58" s="112" t="s">
        <v>144</v>
      </c>
      <c r="H58" s="182">
        <f>+IF(Q58&gt;0,(LOOKUP(Q58,Tabulador!C$34:C$93,Tabulador!D$34:D$93)/7),0)</f>
        <v>228.57142857142858</v>
      </c>
      <c r="I58" s="40">
        <f t="shared" ca="1" si="3"/>
        <v>42287</v>
      </c>
      <c r="J58" s="42">
        <f t="shared" ca="1" si="4"/>
        <v>1</v>
      </c>
      <c r="K58" s="38">
        <f ca="1">+IF(J58&gt;0,(LOOKUP(J58,'Factor Integración'!C$5:C$44,'Factor Integración'!G$5:G$44)),'Factor Integración'!$G$5)</f>
        <v>1.0452054794520547</v>
      </c>
      <c r="L58" s="125">
        <f>+IF(Q58&lt;&gt;0,LOOKUP(Q58,Tabulador!C$33:C$93,Tabulador!D$33:D$93),0)</f>
        <v>1600</v>
      </c>
      <c r="M58" s="127" t="str">
        <f>+IF(L58&gt;0,(LOOKUP(L58,Tabulador!E$33:E$93,Tabulador!F$33:F$93)),0)</f>
        <v>(UN MIL SEISCIENTOS  PESOS  00/100 M.N.)</v>
      </c>
      <c r="N58" s="17">
        <f t="shared" ca="1" si="5"/>
        <v>238.90410958904107</v>
      </c>
      <c r="O58" s="59" t="s">
        <v>27</v>
      </c>
      <c r="P58" s="50" t="s">
        <v>207</v>
      </c>
      <c r="Q58" s="161">
        <v>8.1</v>
      </c>
      <c r="R58" s="143" t="s">
        <v>149</v>
      </c>
      <c r="S58" s="93" t="s">
        <v>879</v>
      </c>
      <c r="T58" s="128" t="s">
        <v>211</v>
      </c>
      <c r="U58" s="128" t="s">
        <v>225</v>
      </c>
      <c r="V58" s="106" t="s">
        <v>247</v>
      </c>
      <c r="W58" s="105" t="s">
        <v>248</v>
      </c>
      <c r="X58" s="138" t="s">
        <v>298</v>
      </c>
      <c r="Y58" s="180">
        <v>54937535885</v>
      </c>
      <c r="Z58" s="2" t="s">
        <v>358</v>
      </c>
      <c r="AA58" s="2" t="s">
        <v>359</v>
      </c>
      <c r="AB58" s="2" t="s">
        <v>301</v>
      </c>
      <c r="AD58" s="15">
        <v>28154</v>
      </c>
      <c r="AF58" s="160">
        <f t="shared" si="6"/>
        <v>29</v>
      </c>
      <c r="AG58" s="160">
        <f t="shared" si="7"/>
        <v>1</v>
      </c>
      <c r="AH58" s="110">
        <v>38</v>
      </c>
      <c r="AJ58" s="2" t="s">
        <v>360</v>
      </c>
      <c r="AK58" s="2" t="s">
        <v>361</v>
      </c>
      <c r="AL58" s="2" t="s">
        <v>362</v>
      </c>
      <c r="AM58" s="2" t="s">
        <v>363</v>
      </c>
      <c r="AN58" s="2" t="s">
        <v>257</v>
      </c>
      <c r="AO58" s="2" t="s">
        <v>253</v>
      </c>
      <c r="AP58" s="180">
        <v>28190</v>
      </c>
      <c r="AX58" s="1" t="s">
        <v>261</v>
      </c>
    </row>
    <row r="59" spans="1:50" x14ac:dyDescent="0.2">
      <c r="A59" s="170">
        <v>254</v>
      </c>
      <c r="B59" s="139">
        <v>41820</v>
      </c>
      <c r="C59" s="176">
        <f t="shared" si="20"/>
        <v>30</v>
      </c>
      <c r="D59" s="176">
        <f t="shared" si="21"/>
        <v>6</v>
      </c>
      <c r="E59" s="16" t="str">
        <f>+LOOKUP(D59,'Factor Integración'!$L$4:$L$15,'Factor Integración'!$M$4:$M$15)</f>
        <v>Junio</v>
      </c>
      <c r="F59" s="176">
        <f t="shared" si="22"/>
        <v>2014</v>
      </c>
      <c r="G59" s="112" t="s">
        <v>145</v>
      </c>
      <c r="H59" s="182">
        <f>+IF(Q59&gt;0,(LOOKUP(Q59,Tabulador!C$34:C$93,Tabulador!D$34:D$93)/7),0)</f>
        <v>157.08589348571431</v>
      </c>
      <c r="I59" s="40">
        <f t="shared" ca="1" si="3"/>
        <v>42551</v>
      </c>
      <c r="J59" s="42">
        <f t="shared" ca="1" si="4"/>
        <v>2</v>
      </c>
      <c r="K59" s="38">
        <f ca="1">+IF(J59&gt;0,(LOOKUP(J59,'Factor Integración'!C$5:C$44,'Factor Integración'!G$5:G$44)),'Factor Integración'!$G$5)</f>
        <v>1.0465753424657533</v>
      </c>
      <c r="L59" s="125">
        <f>+IF(Q59&lt;&gt;0,LOOKUP(Q59,Tabulador!C$33:C$93,Tabulador!D$33:D$93),0)</f>
        <v>1099.6012544000002</v>
      </c>
      <c r="M59" s="127" t="str">
        <f>+IF(L59&gt;0,(LOOKUP(L59,Tabulador!E$33:E$93,Tabulador!F$33:F$93)),0)</f>
        <v>(UN MIL  PESOS  00/100 M.N.)</v>
      </c>
      <c r="N59" s="17">
        <f t="shared" ca="1" si="5"/>
        <v>164.4022227713503</v>
      </c>
      <c r="O59" s="59" t="s">
        <v>27</v>
      </c>
      <c r="P59" s="50" t="s">
        <v>207</v>
      </c>
      <c r="Q59" s="161">
        <v>5.4</v>
      </c>
      <c r="R59" s="143" t="s">
        <v>149</v>
      </c>
      <c r="S59" s="93" t="s">
        <v>879</v>
      </c>
      <c r="T59" s="144" t="s">
        <v>217</v>
      </c>
      <c r="U59" s="128" t="s">
        <v>244</v>
      </c>
      <c r="V59" s="106" t="s">
        <v>247</v>
      </c>
      <c r="W59" s="105" t="s">
        <v>248</v>
      </c>
      <c r="X59" s="138" t="s">
        <v>298</v>
      </c>
      <c r="Y59" s="180">
        <v>52098401985</v>
      </c>
      <c r="Z59" s="2" t="s">
        <v>465</v>
      </c>
      <c r="AA59" s="2" t="s">
        <v>466</v>
      </c>
      <c r="AB59" s="2" t="s">
        <v>292</v>
      </c>
      <c r="AD59" s="139">
        <v>30689</v>
      </c>
      <c r="AF59" s="160">
        <f t="shared" si="6"/>
        <v>8</v>
      </c>
      <c r="AG59" s="160">
        <f t="shared" si="7"/>
        <v>1</v>
      </c>
      <c r="AH59" s="110">
        <v>31</v>
      </c>
      <c r="AJ59" s="2" t="s">
        <v>467</v>
      </c>
      <c r="AK59" s="2" t="s">
        <v>468</v>
      </c>
      <c r="AL59" s="2" t="s">
        <v>469</v>
      </c>
      <c r="AM59" s="2" t="s">
        <v>381</v>
      </c>
      <c r="AN59" s="2" t="s">
        <v>257</v>
      </c>
      <c r="AO59" s="2" t="s">
        <v>253</v>
      </c>
      <c r="AR59" s="176">
        <v>3131224862</v>
      </c>
      <c r="AU59" s="2" t="s">
        <v>258</v>
      </c>
      <c r="AV59" s="2" t="s">
        <v>470</v>
      </c>
      <c r="AW59" s="1" t="s">
        <v>298</v>
      </c>
      <c r="AX59" s="1" t="s">
        <v>261</v>
      </c>
    </row>
    <row r="60" spans="1:50" x14ac:dyDescent="0.2">
      <c r="A60" s="170">
        <v>257</v>
      </c>
      <c r="B60" s="139">
        <v>41884</v>
      </c>
      <c r="C60" s="176">
        <f t="shared" si="20"/>
        <v>2</v>
      </c>
      <c r="D60" s="176">
        <f t="shared" si="21"/>
        <v>9</v>
      </c>
      <c r="E60" s="16" t="str">
        <f>+LOOKUP(D60,'Factor Integración'!$L$4:$L$15,'Factor Integración'!$M$4:$M$15)</f>
        <v>Septiembre</v>
      </c>
      <c r="F60" s="176">
        <f t="shared" si="22"/>
        <v>2014</v>
      </c>
      <c r="G60" s="112" t="s">
        <v>146</v>
      </c>
      <c r="H60" s="182">
        <f>+IF(Q60&gt;0,(LOOKUP(Q60,Tabulador!C$34:C$93,Tabulador!D$34:D$93)/7),0)</f>
        <v>171.42857142857142</v>
      </c>
      <c r="I60" s="40">
        <f t="shared" ca="1" si="3"/>
        <v>42249</v>
      </c>
      <c r="J60" s="42">
        <f t="shared" ca="1" si="4"/>
        <v>1</v>
      </c>
      <c r="K60" s="38">
        <f ca="1">+IF(J60&gt;0,(LOOKUP(J60,'Factor Integración'!C$5:C$44,'Factor Integración'!G$5:G$44)),'Factor Integración'!$G$5)</f>
        <v>1.0452054794520547</v>
      </c>
      <c r="L60" s="125">
        <f>+IF(Q60&lt;&gt;0,LOOKUP(Q60,Tabulador!C$33:C$93,Tabulador!D$33:D$93),0)</f>
        <v>1200</v>
      </c>
      <c r="M60" s="127" t="str">
        <f>+IF(L60&gt;0,(LOOKUP(L60,Tabulador!E$33:E$93,Tabulador!F$33:F$93)),0)</f>
        <v>(UN MIL DOSCIENTOS  PESOS  00/100 M.N.)</v>
      </c>
      <c r="N60" s="17">
        <f t="shared" ca="1" si="5"/>
        <v>179.17808219178079</v>
      </c>
      <c r="O60" s="59" t="s">
        <v>27</v>
      </c>
      <c r="P60" s="50" t="s">
        <v>207</v>
      </c>
      <c r="Q60" s="161">
        <v>6.1</v>
      </c>
      <c r="R60" s="143" t="s">
        <v>149</v>
      </c>
      <c r="S60" s="93" t="s">
        <v>879</v>
      </c>
      <c r="T60" s="128" t="s">
        <v>214</v>
      </c>
      <c r="U60" s="128" t="s">
        <v>225</v>
      </c>
      <c r="V60" s="106" t="s">
        <v>247</v>
      </c>
      <c r="W60" s="105" t="s">
        <v>248</v>
      </c>
      <c r="X60" s="138" t="s">
        <v>298</v>
      </c>
      <c r="Y60" s="180">
        <v>52129317898</v>
      </c>
      <c r="Z60" s="2" t="s">
        <v>332</v>
      </c>
      <c r="AA60" s="2" t="s">
        <v>333</v>
      </c>
      <c r="AB60" s="2" t="s">
        <v>253</v>
      </c>
      <c r="AD60" s="15">
        <v>34133</v>
      </c>
      <c r="AF60" s="160">
        <f t="shared" si="6"/>
        <v>13</v>
      </c>
      <c r="AG60" s="160">
        <f t="shared" si="7"/>
        <v>6</v>
      </c>
      <c r="AH60" s="110">
        <v>22</v>
      </c>
      <c r="AJ60" s="2" t="s">
        <v>334</v>
      </c>
      <c r="AK60" s="2" t="s">
        <v>335</v>
      </c>
      <c r="AL60" s="2" t="s">
        <v>336</v>
      </c>
      <c r="AM60" s="2" t="s">
        <v>337</v>
      </c>
      <c r="AN60" s="2" t="s">
        <v>257</v>
      </c>
      <c r="AO60" s="2" t="s">
        <v>253</v>
      </c>
      <c r="AP60" s="180">
        <v>28100</v>
      </c>
      <c r="AR60" s="176">
        <v>3131198078</v>
      </c>
      <c r="AU60" s="2" t="s">
        <v>258</v>
      </c>
      <c r="AV60" s="2" t="s">
        <v>338</v>
      </c>
      <c r="AX60" s="1" t="s">
        <v>261</v>
      </c>
    </row>
    <row r="61" spans="1:50" x14ac:dyDescent="0.2">
      <c r="A61" s="170">
        <v>258</v>
      </c>
      <c r="B61" s="139">
        <v>41976</v>
      </c>
      <c r="C61" s="176">
        <f t="shared" si="20"/>
        <v>3</v>
      </c>
      <c r="D61" s="176">
        <f t="shared" si="21"/>
        <v>12</v>
      </c>
      <c r="E61" s="16" t="str">
        <f>+LOOKUP(D61,'Factor Integración'!$L$4:$L$15,'Factor Integración'!$M$4:$M$15)</f>
        <v>Diciembre</v>
      </c>
      <c r="F61" s="176">
        <f t="shared" si="22"/>
        <v>2014</v>
      </c>
      <c r="G61" s="112" t="s">
        <v>147</v>
      </c>
      <c r="H61" s="182">
        <f>+IF(Q61&gt;0,(LOOKUP(Q61,Tabulador!C$34:C$93,Tabulador!D$34:D$93)/7),0)</f>
        <v>157.08589348571431</v>
      </c>
      <c r="I61" s="40">
        <f t="shared" ca="1" si="3"/>
        <v>42341</v>
      </c>
      <c r="J61" s="42">
        <f t="shared" ca="1" si="4"/>
        <v>1</v>
      </c>
      <c r="K61" s="38">
        <f ca="1">+IF(J61&gt;0,(LOOKUP(J61,'Factor Integración'!C$5:C$44,'Factor Integración'!G$5:G$44)),'Factor Integración'!$G$5)</f>
        <v>1.0452054794520547</v>
      </c>
      <c r="L61" s="125">
        <f>+IF(Q61&lt;&gt;0,LOOKUP(Q61,Tabulador!C$33:C$93,Tabulador!D$33:D$93),0)</f>
        <v>1099.6012544000002</v>
      </c>
      <c r="M61" s="127" t="str">
        <f>+IF(L61&gt;0,(LOOKUP(L61,Tabulador!E$33:E$93,Tabulador!F$33:F$93)),0)</f>
        <v>(UN MIL  PESOS  00/100 M.N.)</v>
      </c>
      <c r="N61" s="17">
        <f t="shared" ca="1" si="5"/>
        <v>164.18703661589041</v>
      </c>
      <c r="O61" s="59" t="s">
        <v>27</v>
      </c>
      <c r="P61" s="50" t="s">
        <v>207</v>
      </c>
      <c r="Q61" s="161">
        <v>5.4</v>
      </c>
      <c r="R61" s="143" t="s">
        <v>149</v>
      </c>
      <c r="S61" s="93" t="s">
        <v>879</v>
      </c>
      <c r="T61" s="128" t="s">
        <v>217</v>
      </c>
      <c r="U61" s="128" t="s">
        <v>244</v>
      </c>
      <c r="V61" s="106" t="s">
        <v>247</v>
      </c>
      <c r="W61" s="105" t="s">
        <v>248</v>
      </c>
      <c r="X61" s="138" t="s">
        <v>298</v>
      </c>
      <c r="Y61" s="180">
        <v>52137100351</v>
      </c>
      <c r="Z61" s="2" t="s">
        <v>485</v>
      </c>
      <c r="AA61" s="2" t="s">
        <v>486</v>
      </c>
      <c r="AB61" s="2" t="s">
        <v>253</v>
      </c>
      <c r="AD61" s="15">
        <v>26244</v>
      </c>
      <c r="AF61" s="160">
        <f t="shared" si="6"/>
        <v>7</v>
      </c>
      <c r="AG61" s="160">
        <f t="shared" si="7"/>
        <v>11</v>
      </c>
      <c r="AH61" s="110">
        <v>44</v>
      </c>
      <c r="AK61" s="2" t="s">
        <v>487</v>
      </c>
      <c r="AL61" s="2" t="s">
        <v>488</v>
      </c>
      <c r="AM61" s="2" t="s">
        <v>311</v>
      </c>
      <c r="AN61" s="2" t="s">
        <v>257</v>
      </c>
      <c r="AO61" s="2" t="s">
        <v>253</v>
      </c>
      <c r="AP61" s="180">
        <v>28138</v>
      </c>
      <c r="AR61" s="176">
        <v>3131195414</v>
      </c>
      <c r="AU61" s="2" t="s">
        <v>258</v>
      </c>
      <c r="AV61" s="2" t="s">
        <v>489</v>
      </c>
      <c r="AW61" s="1" t="s">
        <v>298</v>
      </c>
      <c r="AX61" s="1" t="s">
        <v>261</v>
      </c>
    </row>
    <row r="62" spans="1:50" x14ac:dyDescent="0.2">
      <c r="A62" s="169">
        <v>260</v>
      </c>
      <c r="B62" s="139">
        <v>41932</v>
      </c>
      <c r="C62" s="176">
        <f t="shared" si="20"/>
        <v>20</v>
      </c>
      <c r="D62" s="176">
        <f t="shared" si="21"/>
        <v>10</v>
      </c>
      <c r="E62" s="16" t="str">
        <f>+LOOKUP(D62,'Factor Integración'!$L$4:$L$15,'Factor Integración'!$M$4:$M$15)</f>
        <v>Octubre</v>
      </c>
      <c r="F62" s="176">
        <f t="shared" si="22"/>
        <v>2014</v>
      </c>
      <c r="G62" s="112" t="s">
        <v>148</v>
      </c>
      <c r="H62" s="182">
        <f>+IF(Q62&gt;0,(LOOKUP(Q62,Tabulador!C$34:C$93,Tabulador!D$34:D$93)/7),0)</f>
        <v>128.57142857142858</v>
      </c>
      <c r="I62" s="40">
        <f t="shared" ca="1" si="3"/>
        <v>42297</v>
      </c>
      <c r="J62" s="42">
        <f t="shared" ca="1" si="4"/>
        <v>1</v>
      </c>
      <c r="K62" s="38">
        <f ca="1">+IF(J62&gt;0,(LOOKUP(J62,'Factor Integración'!C$5:C$44,'Factor Integración'!G$5:G$44)),'Factor Integración'!$G$5)</f>
        <v>1.0452054794520547</v>
      </c>
      <c r="L62" s="125">
        <f>+IF(Q62&lt;&gt;0,LOOKUP(Q62,Tabulador!C$33:C$93,Tabulador!D$33:D$93),0)</f>
        <v>900</v>
      </c>
      <c r="M62" s="127" t="str">
        <f>+IF(L62&gt;0,(LOOKUP(L62,Tabulador!E$33:E$93,Tabulador!F$33:F$93)),0)</f>
        <v>(NOVECIENTOS  PESOS  00/100 M.N.)</v>
      </c>
      <c r="N62" s="17">
        <f t="shared" ca="1" si="5"/>
        <v>134.38356164383561</v>
      </c>
      <c r="O62" s="59" t="s">
        <v>27</v>
      </c>
      <c r="P62" s="50" t="s">
        <v>207</v>
      </c>
      <c r="Q62" s="161">
        <v>5.0999999999999996</v>
      </c>
      <c r="R62" s="143" t="s">
        <v>149</v>
      </c>
      <c r="S62" s="93" t="s">
        <v>879</v>
      </c>
      <c r="T62" s="128" t="s">
        <v>223</v>
      </c>
      <c r="U62" s="128" t="s">
        <v>228</v>
      </c>
      <c r="V62" s="106" t="s">
        <v>247</v>
      </c>
      <c r="W62" s="105" t="s">
        <v>248</v>
      </c>
      <c r="X62" s="137" t="s">
        <v>250</v>
      </c>
      <c r="Y62" s="178">
        <v>21109167011</v>
      </c>
      <c r="Z62" s="103" t="s">
        <v>409</v>
      </c>
      <c r="AA62" s="6" t="s">
        <v>404</v>
      </c>
      <c r="AB62" s="6" t="s">
        <v>253</v>
      </c>
      <c r="AC62" s="6"/>
      <c r="AD62" s="14">
        <v>33454</v>
      </c>
      <c r="AE62" s="52"/>
      <c r="AF62" s="160">
        <f t="shared" si="6"/>
        <v>4</v>
      </c>
      <c r="AG62" s="160">
        <f t="shared" si="7"/>
        <v>8</v>
      </c>
      <c r="AH62" s="109">
        <v>24</v>
      </c>
      <c r="AI62" s="61"/>
      <c r="AJ62" s="6" t="s">
        <v>405</v>
      </c>
      <c r="AK62" s="6" t="s">
        <v>406</v>
      </c>
      <c r="AL62" s="6" t="s">
        <v>407</v>
      </c>
      <c r="AM62" s="6" t="s">
        <v>408</v>
      </c>
      <c r="AN62" s="6" t="s">
        <v>257</v>
      </c>
      <c r="AO62" s="6" t="s">
        <v>253</v>
      </c>
      <c r="AP62" s="178"/>
      <c r="AQ62" s="160"/>
      <c r="AR62" s="175">
        <v>3139081161</v>
      </c>
      <c r="AS62" s="8"/>
      <c r="AT62" s="98"/>
      <c r="AU62" s="6" t="s">
        <v>266</v>
      </c>
      <c r="AV62" s="6"/>
      <c r="AW62" s="96"/>
      <c r="AX62" s="1" t="s">
        <v>261</v>
      </c>
    </row>
    <row r="63" spans="1:50" x14ac:dyDescent="0.2">
      <c r="A63" s="169">
        <v>262</v>
      </c>
      <c r="B63" s="139">
        <v>41219</v>
      </c>
      <c r="C63" s="176">
        <f t="shared" si="20"/>
        <v>6</v>
      </c>
      <c r="D63" s="176">
        <f t="shared" si="21"/>
        <v>11</v>
      </c>
      <c r="E63" s="16" t="str">
        <f>+LOOKUP(D63,'Factor Integración'!$L$4:$L$15,'Factor Integración'!$M$4:$M$15)</f>
        <v>Noviembre</v>
      </c>
      <c r="F63" s="176">
        <f t="shared" si="22"/>
        <v>2012</v>
      </c>
      <c r="G63" s="112" t="s">
        <v>149</v>
      </c>
      <c r="H63" s="182">
        <f>+IF(Q63&gt;0,(LOOKUP(Q63,Tabulador!C$34:C$93,Tabulador!D$34:D$93)/7),0)</f>
        <v>285.71428571428572</v>
      </c>
      <c r="I63" s="40">
        <f t="shared" ca="1" si="3"/>
        <v>42314</v>
      </c>
      <c r="J63" s="42">
        <f t="shared" ca="1" si="4"/>
        <v>3</v>
      </c>
      <c r="K63" s="38">
        <f ca="1">+IF(J63&gt;0,(LOOKUP(J63,'Factor Integración'!C$5:C$44,'Factor Integración'!G$5:G$44)),'Factor Integración'!$G$5)</f>
        <v>1.047945205479452</v>
      </c>
      <c r="L63" s="125">
        <f>+IF(Q63&lt;&gt;0,LOOKUP(Q63,Tabulador!C$33:C$93,Tabulador!D$33:D$93),0)</f>
        <v>2000</v>
      </c>
      <c r="M63" s="127" t="str">
        <f>+IF(L63&gt;0,(LOOKUP(L63,Tabulador!E$33:E$93,Tabulador!F$33:F$93)),0)</f>
        <v>(DOS MIL  PESOS  00/100 M.N.)</v>
      </c>
      <c r="N63" s="17">
        <f t="shared" ca="1" si="5"/>
        <v>299.41291585127203</v>
      </c>
      <c r="O63" s="59" t="s">
        <v>27</v>
      </c>
      <c r="P63" s="50" t="s">
        <v>207</v>
      </c>
      <c r="Q63" s="161">
        <v>9.1</v>
      </c>
      <c r="R63" s="143" t="s">
        <v>149</v>
      </c>
      <c r="S63" s="93" t="s">
        <v>879</v>
      </c>
      <c r="T63" s="128" t="s">
        <v>219</v>
      </c>
      <c r="U63" s="128" t="s">
        <v>245</v>
      </c>
      <c r="V63" s="106" t="s">
        <v>247</v>
      </c>
      <c r="W63" s="105" t="s">
        <v>248</v>
      </c>
      <c r="X63" s="138" t="s">
        <v>250</v>
      </c>
      <c r="Y63" s="180">
        <v>52038303435</v>
      </c>
      <c r="Z63" s="2" t="s">
        <v>744</v>
      </c>
      <c r="AA63" s="2" t="s">
        <v>745</v>
      </c>
      <c r="AD63" s="15">
        <v>30591</v>
      </c>
      <c r="AF63" s="160">
        <f t="shared" si="6"/>
        <v>2</v>
      </c>
      <c r="AG63" s="160">
        <f t="shared" si="7"/>
        <v>10</v>
      </c>
      <c r="AH63" s="110">
        <v>32</v>
      </c>
      <c r="AL63" s="2" t="s">
        <v>746</v>
      </c>
      <c r="AM63" s="2" t="s">
        <v>747</v>
      </c>
      <c r="AN63" s="2" t="s">
        <v>748</v>
      </c>
      <c r="AO63" s="2" t="s">
        <v>253</v>
      </c>
      <c r="AP63" s="180">
        <v>28983</v>
      </c>
      <c r="AR63" s="176">
        <v>3121559518</v>
      </c>
      <c r="AU63" s="2" t="s">
        <v>258</v>
      </c>
      <c r="AV63" s="2" t="s">
        <v>749</v>
      </c>
      <c r="AX63" s="1" t="s">
        <v>261</v>
      </c>
    </row>
    <row r="64" spans="1:50" x14ac:dyDescent="0.2">
      <c r="A64" s="169">
        <v>263</v>
      </c>
      <c r="B64" s="145">
        <v>41893</v>
      </c>
      <c r="C64" s="176">
        <f t="shared" si="20"/>
        <v>11</v>
      </c>
      <c r="D64" s="176">
        <f t="shared" si="21"/>
        <v>9</v>
      </c>
      <c r="E64" s="16" t="str">
        <f>+LOOKUP(D64,'Factor Integración'!$L$4:$L$15,'Factor Integración'!$M$4:$M$15)</f>
        <v>Septiembre</v>
      </c>
      <c r="F64" s="176">
        <f t="shared" si="22"/>
        <v>2014</v>
      </c>
      <c r="G64" s="119" t="s">
        <v>150</v>
      </c>
      <c r="H64" s="182">
        <f>+IF(Q64&gt;0,(LOOKUP(Q64,Tabulador!C$34:C$93,Tabulador!D$34:D$93)/7),0)</f>
        <v>178.57142857142858</v>
      </c>
      <c r="I64" s="40">
        <f t="shared" ca="1" si="3"/>
        <v>42258</v>
      </c>
      <c r="J64" s="42">
        <f t="shared" ca="1" si="4"/>
        <v>1</v>
      </c>
      <c r="K64" s="38">
        <f ca="1">+IF(J64&gt;0,(LOOKUP(J64,'Factor Integración'!C$5:C$44,'Factor Integración'!G$5:G$44)),'Factor Integración'!$G$5)</f>
        <v>1.0452054794520547</v>
      </c>
      <c r="L64" s="125">
        <f>+IF(Q64&lt;&gt;0,LOOKUP(Q64,Tabulador!C$33:C$93,Tabulador!D$33:D$93),0)</f>
        <v>1250</v>
      </c>
      <c r="M64" s="127" t="str">
        <f>+IF(L64&gt;0,(LOOKUP(L64,Tabulador!E$33:E$93,Tabulador!F$33:F$93)),0)</f>
        <v>(UN MIL DOSCIENTOS CINCUENTA  PESOS  00/100 M.N.)</v>
      </c>
      <c r="N64" s="17">
        <f t="shared" ca="1" si="5"/>
        <v>186.64383561643834</v>
      </c>
      <c r="O64" s="59" t="s">
        <v>27</v>
      </c>
      <c r="P64" s="50" t="s">
        <v>207</v>
      </c>
      <c r="Q64" s="161">
        <v>6.2</v>
      </c>
      <c r="R64" s="93" t="s">
        <v>881</v>
      </c>
      <c r="S64" s="93" t="s">
        <v>880</v>
      </c>
      <c r="T64" s="128" t="s">
        <v>212</v>
      </c>
      <c r="U64" s="128" t="s">
        <v>227</v>
      </c>
      <c r="V64" s="106" t="s">
        <v>247</v>
      </c>
      <c r="W64" s="105" t="s">
        <v>248</v>
      </c>
      <c r="X64" s="138" t="s">
        <v>250</v>
      </c>
      <c r="Y64" s="180">
        <v>49149356336</v>
      </c>
      <c r="Z64" s="2" t="s">
        <v>836</v>
      </c>
      <c r="AA64" s="2" t="s">
        <v>837</v>
      </c>
      <c r="AB64" s="2" t="s">
        <v>253</v>
      </c>
      <c r="AD64" s="15">
        <v>34155</v>
      </c>
      <c r="AF64" s="160">
        <f t="shared" si="6"/>
        <v>5</v>
      </c>
      <c r="AG64" s="160">
        <f t="shared" si="7"/>
        <v>7</v>
      </c>
      <c r="AH64" s="110">
        <v>19</v>
      </c>
      <c r="AJ64" s="2" t="s">
        <v>329</v>
      </c>
      <c r="AK64" s="2" t="s">
        <v>330</v>
      </c>
      <c r="AL64" s="2" t="s">
        <v>331</v>
      </c>
      <c r="AM64" s="2" t="s">
        <v>296</v>
      </c>
      <c r="AN64" s="2" t="s">
        <v>257</v>
      </c>
      <c r="AO64" s="2" t="s">
        <v>253</v>
      </c>
      <c r="AP64" s="180">
        <v>28130</v>
      </c>
      <c r="AQ64" s="162">
        <v>3299907</v>
      </c>
      <c r="AR64" s="176">
        <v>3131164201</v>
      </c>
      <c r="AU64" s="2" t="s">
        <v>266</v>
      </c>
      <c r="AX64" s="1" t="s">
        <v>261</v>
      </c>
    </row>
    <row r="65" spans="1:50" x14ac:dyDescent="0.2">
      <c r="A65" s="169">
        <v>264</v>
      </c>
      <c r="B65" s="139">
        <v>41768</v>
      </c>
      <c r="C65" s="176">
        <f t="shared" si="20"/>
        <v>9</v>
      </c>
      <c r="D65" s="176">
        <f t="shared" si="21"/>
        <v>5</v>
      </c>
      <c r="E65" s="16" t="str">
        <f>+LOOKUP(D65,'Factor Integración'!$L$4:$L$15,'Factor Integración'!$M$4:$M$15)</f>
        <v>Mayo</v>
      </c>
      <c r="F65" s="176">
        <f t="shared" si="22"/>
        <v>2014</v>
      </c>
      <c r="G65" s="112" t="s">
        <v>151</v>
      </c>
      <c r="H65" s="182">
        <f>+IF(Q65&gt;0,(LOOKUP(Q65,Tabulador!C$34:C$93,Tabulador!D$34:D$93)/7),0)</f>
        <v>71.428571428571431</v>
      </c>
      <c r="I65" s="40">
        <f t="shared" ca="1" si="3"/>
        <v>42499</v>
      </c>
      <c r="J65" s="42">
        <f t="shared" ca="1" si="4"/>
        <v>2</v>
      </c>
      <c r="K65" s="38">
        <f ca="1">+IF(J65&gt;0,(LOOKUP(J65,'Factor Integración'!C$5:C$44,'Factor Integración'!G$5:G$44)),'Factor Integración'!$G$5)</f>
        <v>1.0465753424657533</v>
      </c>
      <c r="L65" s="125">
        <f>+IF(Q65&lt;&gt;0,LOOKUP(Q65,Tabulador!C$33:C$93,Tabulador!D$33:D$93),0)</f>
        <v>500</v>
      </c>
      <c r="M65" s="127" t="str">
        <f>+IF(L65&gt;0,(LOOKUP(L65,Tabulador!E$33:E$93,Tabulador!F$33:F$93)),0)</f>
        <v>(QUINIENTOS  PESOS  00/100 M.N.)</v>
      </c>
      <c r="N65" s="17">
        <f t="shared" ca="1" si="5"/>
        <v>74.755381604696666</v>
      </c>
      <c r="O65" s="59" t="s">
        <v>27</v>
      </c>
      <c r="P65" s="50" t="s">
        <v>207</v>
      </c>
      <c r="Q65" s="161">
        <v>3.1</v>
      </c>
      <c r="R65" s="143" t="s">
        <v>149</v>
      </c>
      <c r="S65" s="93" t="s">
        <v>879</v>
      </c>
      <c r="T65" s="128" t="s">
        <v>214</v>
      </c>
      <c r="U65" s="128" t="s">
        <v>225</v>
      </c>
      <c r="V65" s="106" t="s">
        <v>247</v>
      </c>
      <c r="W65" s="105" t="s">
        <v>248</v>
      </c>
      <c r="X65" s="138" t="s">
        <v>250</v>
      </c>
      <c r="Y65" s="180">
        <v>52139506662</v>
      </c>
      <c r="Z65" s="2" t="s">
        <v>299</v>
      </c>
      <c r="AA65" s="2" t="s">
        <v>300</v>
      </c>
      <c r="AB65" s="2" t="s">
        <v>301</v>
      </c>
      <c r="AD65" s="15">
        <v>34798</v>
      </c>
      <c r="AF65" s="160">
        <f t="shared" si="6"/>
        <v>9</v>
      </c>
      <c r="AG65" s="160">
        <f t="shared" si="7"/>
        <v>4</v>
      </c>
      <c r="AH65" s="110">
        <v>20</v>
      </c>
      <c r="AJ65" s="2" t="s">
        <v>302</v>
      </c>
      <c r="AK65" s="2" t="s">
        <v>303</v>
      </c>
      <c r="AL65" s="2" t="s">
        <v>304</v>
      </c>
      <c r="AM65" s="2" t="s">
        <v>305</v>
      </c>
      <c r="AN65" s="2" t="s">
        <v>257</v>
      </c>
      <c r="AO65" s="2" t="s">
        <v>253</v>
      </c>
      <c r="AP65" s="180">
        <v>28140</v>
      </c>
      <c r="AR65" s="176">
        <v>3121007502</v>
      </c>
      <c r="AU65" s="2" t="s">
        <v>266</v>
      </c>
      <c r="AX65" s="1" t="s">
        <v>261</v>
      </c>
    </row>
    <row r="66" spans="1:50" x14ac:dyDescent="0.2">
      <c r="A66" s="170">
        <v>265</v>
      </c>
      <c r="B66" s="139">
        <v>41967</v>
      </c>
      <c r="C66" s="176">
        <f t="shared" si="20"/>
        <v>24</v>
      </c>
      <c r="D66" s="176">
        <f t="shared" si="21"/>
        <v>11</v>
      </c>
      <c r="E66" s="16" t="str">
        <f>+LOOKUP(D66,'Factor Integración'!$L$4:$L$15,'Factor Integración'!$M$4:$M$15)</f>
        <v>Noviembre</v>
      </c>
      <c r="F66" s="176">
        <f t="shared" si="22"/>
        <v>2014</v>
      </c>
      <c r="G66" s="112" t="s">
        <v>152</v>
      </c>
      <c r="H66" s="182">
        <f>+IF(Q66&gt;0,(LOOKUP(Q66,Tabulador!C$34:C$93,Tabulador!D$34:D$93)/7),0)</f>
        <v>285.71428571428572</v>
      </c>
      <c r="I66" s="40">
        <f t="shared" ref="I66:I129" ca="1" si="23">IF(B66&lt;&gt;"",IF(DATE(YEAR(I$1),MONTH(B66),DAY(B66))&lt;TODAY(),DATE(YEAR(I$1),MONTH(B66),DAY(B66)),DATE(YEAR(I$1)-1,MONTH(B66),DAY(B66))),"")</f>
        <v>42332</v>
      </c>
      <c r="J66" s="42">
        <f t="shared" ref="J66:J124" ca="1" si="24">IF(I66&lt;=(TODAY()),DAYS360(B66,I66)/360,0)</f>
        <v>1</v>
      </c>
      <c r="K66" s="38">
        <f ca="1">+IF(J66&gt;0,(LOOKUP(J66,'Factor Integración'!C$5:C$44,'Factor Integración'!G$5:G$44)),'Factor Integración'!$G$5)</f>
        <v>1.0452054794520547</v>
      </c>
      <c r="L66" s="125">
        <f>+IF(Q66&lt;&gt;0,LOOKUP(Q66,Tabulador!C$33:C$93,Tabulador!D$33:D$93),0)</f>
        <v>2000</v>
      </c>
      <c r="M66" s="127" t="str">
        <f>+IF(L66&gt;0,(LOOKUP(L66,Tabulador!E$33:E$93,Tabulador!F$33:F$93)),0)</f>
        <v>(DOS MIL  PESOS  00/100 M.N.)</v>
      </c>
      <c r="N66" s="17">
        <f t="shared" ca="1" si="5"/>
        <v>298.63013698630135</v>
      </c>
      <c r="O66" s="59" t="s">
        <v>27</v>
      </c>
      <c r="P66" s="50" t="s">
        <v>207</v>
      </c>
      <c r="Q66" s="161">
        <v>9.1</v>
      </c>
      <c r="R66" s="143" t="s">
        <v>149</v>
      </c>
      <c r="S66" s="93" t="s">
        <v>879</v>
      </c>
      <c r="T66" s="128" t="s">
        <v>217</v>
      </c>
      <c r="U66" s="128" t="s">
        <v>244</v>
      </c>
      <c r="V66" s="106" t="s">
        <v>247</v>
      </c>
      <c r="W66" s="105" t="s">
        <v>248</v>
      </c>
      <c r="X66" s="138" t="s">
        <v>298</v>
      </c>
      <c r="Y66" s="180" t="s">
        <v>477</v>
      </c>
      <c r="Z66" s="2" t="s">
        <v>478</v>
      </c>
      <c r="AA66" s="2" t="s">
        <v>479</v>
      </c>
      <c r="AB66" s="2" t="s">
        <v>480</v>
      </c>
      <c r="AD66" s="15">
        <v>27809</v>
      </c>
      <c r="AF66" s="160">
        <f t="shared" si="6"/>
        <v>19</v>
      </c>
      <c r="AG66" s="160">
        <f t="shared" si="7"/>
        <v>2</v>
      </c>
      <c r="AH66" s="110">
        <v>39</v>
      </c>
      <c r="AJ66" s="2" t="s">
        <v>483</v>
      </c>
      <c r="AK66" s="2" t="s">
        <v>482</v>
      </c>
      <c r="AL66" s="2" t="s">
        <v>481</v>
      </c>
      <c r="AM66" s="2" t="s">
        <v>305</v>
      </c>
      <c r="AN66" s="2" t="s">
        <v>257</v>
      </c>
      <c r="AO66" s="2" t="s">
        <v>253</v>
      </c>
      <c r="AP66" s="180">
        <v>28140</v>
      </c>
      <c r="AR66" s="176">
        <v>3141170803</v>
      </c>
      <c r="AU66" s="2" t="s">
        <v>258</v>
      </c>
      <c r="AV66" s="2" t="s">
        <v>484</v>
      </c>
      <c r="AW66" s="1" t="s">
        <v>298</v>
      </c>
      <c r="AX66" s="1" t="s">
        <v>261</v>
      </c>
    </row>
    <row r="67" spans="1:50" x14ac:dyDescent="0.2">
      <c r="A67" s="171">
        <v>267</v>
      </c>
      <c r="B67" s="139">
        <v>41945</v>
      </c>
      <c r="C67" s="176">
        <f t="shared" si="20"/>
        <v>2</v>
      </c>
      <c r="D67" s="176">
        <f t="shared" si="21"/>
        <v>11</v>
      </c>
      <c r="E67" s="16" t="str">
        <f>+LOOKUP(D67,'Factor Integración'!$L$4:$L$15,'Factor Integración'!$M$4:$M$15)</f>
        <v>Noviembre</v>
      </c>
      <c r="F67" s="176">
        <f t="shared" si="22"/>
        <v>2014</v>
      </c>
      <c r="G67" s="113" t="s">
        <v>153</v>
      </c>
      <c r="H67" s="182">
        <f>+IF(Q67&gt;0,(LOOKUP(Q67,Tabulador!C$34:C$93,Tabulador!D$34:D$93)/7),0)</f>
        <v>142.80320000000003</v>
      </c>
      <c r="I67" s="40">
        <f t="shared" ca="1" si="23"/>
        <v>42310</v>
      </c>
      <c r="J67" s="42">
        <f t="shared" ca="1" si="24"/>
        <v>1</v>
      </c>
      <c r="K67" s="38">
        <f ca="1">+IF(J67&gt;0,(LOOKUP(J67,'Factor Integración'!C$5:C$44,'Factor Integración'!G$5:G$44)),'Factor Integración'!$G$5)</f>
        <v>1.0452054794520547</v>
      </c>
      <c r="L67" s="125">
        <f>+IF(Q67&lt;&gt;0,LOOKUP(Q67,Tabulador!C$33:C$93,Tabulador!D$33:D$93),0)</f>
        <v>999.6224000000002</v>
      </c>
      <c r="M67" s="127" t="str">
        <f>+IF(L67&gt;0,(LOOKUP(L67,Tabulador!E$33:E$93,Tabulador!F$33:F$93)),0)</f>
        <v>(NOVECIENTOS CINCUENTA  PESOS  00/100 M.N.)</v>
      </c>
      <c r="N67" s="17">
        <f t="shared" ref="N67:N130" ca="1" si="25">+H67*K67</f>
        <v>149.2586871232877</v>
      </c>
      <c r="O67" s="59" t="s">
        <v>27</v>
      </c>
      <c r="P67" s="50" t="s">
        <v>207</v>
      </c>
      <c r="Q67" s="161">
        <v>5.3</v>
      </c>
      <c r="R67" s="143" t="s">
        <v>149</v>
      </c>
      <c r="S67" s="93" t="s">
        <v>879</v>
      </c>
      <c r="T67" s="129" t="s">
        <v>210</v>
      </c>
      <c r="U67" s="129" t="s">
        <v>240</v>
      </c>
      <c r="V67" s="106" t="s">
        <v>247</v>
      </c>
      <c r="W67" s="105" t="s">
        <v>248</v>
      </c>
      <c r="X67" s="138" t="s">
        <v>298</v>
      </c>
      <c r="Y67" s="180">
        <v>52109212572</v>
      </c>
      <c r="Z67" s="2" t="s">
        <v>645</v>
      </c>
      <c r="AA67" s="2" t="s">
        <v>646</v>
      </c>
      <c r="AB67" s="2" t="s">
        <v>253</v>
      </c>
      <c r="AD67" s="15">
        <v>33846</v>
      </c>
      <c r="AF67" s="160">
        <f t="shared" ref="AF67:AF121" si="26">+DAY(AD67)</f>
        <v>30</v>
      </c>
      <c r="AG67" s="160">
        <f t="shared" ref="AG67:AG121" si="27">+MONTH(AD67)</f>
        <v>8</v>
      </c>
      <c r="AH67" s="110">
        <v>23</v>
      </c>
      <c r="AL67" s="2" t="s">
        <v>647</v>
      </c>
      <c r="AM67" s="2" t="s">
        <v>447</v>
      </c>
      <c r="AN67" s="2" t="s">
        <v>257</v>
      </c>
      <c r="AO67" s="2" t="s">
        <v>253</v>
      </c>
      <c r="AP67" s="180">
        <v>28150</v>
      </c>
      <c r="AX67" s="1" t="s">
        <v>261</v>
      </c>
    </row>
    <row r="68" spans="1:50" x14ac:dyDescent="0.2">
      <c r="A68" s="170">
        <v>269</v>
      </c>
      <c r="B68" s="139">
        <v>42037</v>
      </c>
      <c r="C68" s="176">
        <f t="shared" si="20"/>
        <v>2</v>
      </c>
      <c r="D68" s="176">
        <f t="shared" si="21"/>
        <v>2</v>
      </c>
      <c r="E68" s="16" t="str">
        <f>+LOOKUP(D68,'Factor Integración'!$L$4:$L$15,'Factor Integración'!$M$4:$M$15)</f>
        <v>Febrero</v>
      </c>
      <c r="F68" s="176">
        <f t="shared" si="22"/>
        <v>2015</v>
      </c>
      <c r="G68" s="113" t="s">
        <v>154</v>
      </c>
      <c r="H68" s="182">
        <f>+IF(Q68&gt;0,(LOOKUP(Q68,Tabulador!C$34:C$93,Tabulador!D$34:D$93)/7),0)</f>
        <v>142.80320000000003</v>
      </c>
      <c r="I68" s="40">
        <f t="shared" ca="1" si="23"/>
        <v>42402</v>
      </c>
      <c r="J68" s="42">
        <f t="shared" ca="1" si="24"/>
        <v>1</v>
      </c>
      <c r="K68" s="38">
        <f ca="1">+IF(J68&gt;0,(LOOKUP(J68,'Factor Integración'!C$5:C$44,'Factor Integración'!G$5:G$44)),'Factor Integración'!$G$5)</f>
        <v>1.0452054794520547</v>
      </c>
      <c r="L68" s="125">
        <f>+IF(Q68&lt;&gt;0,LOOKUP(Q68,Tabulador!C$33:C$93,Tabulador!D$33:D$93),0)</f>
        <v>999.6224000000002</v>
      </c>
      <c r="M68" s="127" t="str">
        <f>+IF(L68&gt;0,(LOOKUP(L68,Tabulador!E$33:E$93,Tabulador!F$33:F$93)),0)</f>
        <v>(NOVECIENTOS CINCUENTA  PESOS  00/100 M.N.)</v>
      </c>
      <c r="N68" s="17">
        <f t="shared" ca="1" si="25"/>
        <v>149.2586871232877</v>
      </c>
      <c r="O68" s="59" t="s">
        <v>27</v>
      </c>
      <c r="P68" s="50" t="s">
        <v>207</v>
      </c>
      <c r="Q68" s="161">
        <v>5.3</v>
      </c>
      <c r="R68" s="143" t="s">
        <v>149</v>
      </c>
      <c r="S68" s="93" t="s">
        <v>879</v>
      </c>
      <c r="T68" s="129" t="s">
        <v>210</v>
      </c>
      <c r="U68" s="129" t="s">
        <v>240</v>
      </c>
      <c r="V68" s="106" t="s">
        <v>247</v>
      </c>
      <c r="W68" s="105" t="s">
        <v>248</v>
      </c>
      <c r="X68" s="138" t="s">
        <v>298</v>
      </c>
      <c r="Y68" s="180">
        <v>52957909063</v>
      </c>
      <c r="Z68" s="2" t="s">
        <v>638</v>
      </c>
      <c r="AA68" s="2" t="s">
        <v>639</v>
      </c>
      <c r="AB68" s="2" t="s">
        <v>253</v>
      </c>
      <c r="AD68" s="15">
        <v>28864</v>
      </c>
      <c r="AF68" s="160">
        <f t="shared" si="26"/>
        <v>9</v>
      </c>
      <c r="AG68" s="160">
        <f t="shared" si="27"/>
        <v>1</v>
      </c>
      <c r="AH68" s="110">
        <v>36</v>
      </c>
      <c r="AL68" s="2" t="s">
        <v>640</v>
      </c>
      <c r="AM68" s="2" t="s">
        <v>305</v>
      </c>
      <c r="AN68" s="2" t="s">
        <v>257</v>
      </c>
      <c r="AO68" s="2" t="s">
        <v>253</v>
      </c>
      <c r="AP68" s="180">
        <v>28140</v>
      </c>
      <c r="AX68" s="1" t="s">
        <v>261</v>
      </c>
    </row>
    <row r="69" spans="1:50" x14ac:dyDescent="0.2">
      <c r="A69" s="169">
        <v>271</v>
      </c>
      <c r="B69" s="139">
        <v>41924</v>
      </c>
      <c r="C69" s="176">
        <f t="shared" si="20"/>
        <v>12</v>
      </c>
      <c r="D69" s="176">
        <f t="shared" si="21"/>
        <v>10</v>
      </c>
      <c r="E69" s="16" t="str">
        <f>+LOOKUP(D69,'Factor Integración'!$L$4:$L$15,'Factor Integración'!$M$4:$M$15)</f>
        <v>Octubre</v>
      </c>
      <c r="F69" s="176">
        <f t="shared" si="22"/>
        <v>2014</v>
      </c>
      <c r="G69" s="112" t="s">
        <v>155</v>
      </c>
      <c r="H69" s="182">
        <f>+IF(Q69&gt;0,(LOOKUP(Q69,Tabulador!C$34:C$93,Tabulador!D$34:D$93)/7),0)</f>
        <v>285.71428571428572</v>
      </c>
      <c r="I69" s="40">
        <f t="shared" ca="1" si="23"/>
        <v>42289</v>
      </c>
      <c r="J69" s="42">
        <f t="shared" ca="1" si="24"/>
        <v>1</v>
      </c>
      <c r="K69" s="38">
        <f ca="1">+IF(J69&gt;0,(LOOKUP(J69,'Factor Integración'!C$5:C$44,'Factor Integración'!G$5:G$44)),'Factor Integración'!$G$5)</f>
        <v>1.0452054794520547</v>
      </c>
      <c r="L69" s="125">
        <f>+IF(Q69&lt;&gt;0,LOOKUP(Q69,Tabulador!C$33:C$93,Tabulador!D$33:D$93),0)</f>
        <v>2000</v>
      </c>
      <c r="M69" s="127" t="str">
        <f>+IF(L69&gt;0,(LOOKUP(L69,Tabulador!E$33:E$93,Tabulador!F$33:F$93)),0)</f>
        <v>(DOS MIL  PESOS  00/100 M.N.)</v>
      </c>
      <c r="N69" s="17">
        <f t="shared" ca="1" si="25"/>
        <v>298.63013698630135</v>
      </c>
      <c r="O69" s="59" t="s">
        <v>27</v>
      </c>
      <c r="P69" s="50" t="s">
        <v>207</v>
      </c>
      <c r="Q69" s="161">
        <v>9.1</v>
      </c>
      <c r="R69" s="143" t="s">
        <v>149</v>
      </c>
      <c r="S69" s="93" t="s">
        <v>879</v>
      </c>
      <c r="T69" s="128" t="s">
        <v>221</v>
      </c>
      <c r="U69" s="128"/>
      <c r="V69" s="106" t="s">
        <v>247</v>
      </c>
      <c r="W69" s="105" t="s">
        <v>248</v>
      </c>
      <c r="X69" s="138" t="s">
        <v>298</v>
      </c>
      <c r="Y69" s="180">
        <v>52917619141</v>
      </c>
      <c r="Z69" s="2" t="s">
        <v>401</v>
      </c>
      <c r="AA69" s="2" t="s">
        <v>402</v>
      </c>
      <c r="AB69" s="2" t="s">
        <v>253</v>
      </c>
      <c r="AD69" s="15">
        <v>28018</v>
      </c>
      <c r="AF69" s="160">
        <f t="shared" si="26"/>
        <v>15</v>
      </c>
      <c r="AG69" s="160">
        <f t="shared" si="27"/>
        <v>9</v>
      </c>
      <c r="AH69" s="110">
        <v>39</v>
      </c>
      <c r="AL69" s="2" t="s">
        <v>403</v>
      </c>
      <c r="AM69" s="2" t="s">
        <v>348</v>
      </c>
      <c r="AN69" s="2" t="s">
        <v>257</v>
      </c>
      <c r="AO69" s="2" t="s">
        <v>253</v>
      </c>
      <c r="AX69" s="1" t="s">
        <v>261</v>
      </c>
    </row>
    <row r="70" spans="1:50" x14ac:dyDescent="0.2">
      <c r="A70" s="170">
        <v>277</v>
      </c>
      <c r="B70" s="139">
        <v>42042</v>
      </c>
      <c r="C70" s="176">
        <f t="shared" si="20"/>
        <v>7</v>
      </c>
      <c r="D70" s="176">
        <f t="shared" si="21"/>
        <v>2</v>
      </c>
      <c r="E70" s="16" t="str">
        <f>+LOOKUP(D70,'Factor Integración'!$L$4:$L$15,'Factor Integración'!$M$4:$M$15)</f>
        <v>Febrero</v>
      </c>
      <c r="F70" s="176">
        <f t="shared" si="22"/>
        <v>2015</v>
      </c>
      <c r="G70" s="113" t="s">
        <v>156</v>
      </c>
      <c r="H70" s="182">
        <f>+IF(Q70&gt;0,(LOOKUP(Q70,Tabulador!C$34:C$93,Tabulador!D$34:D$93)/7),0)</f>
        <v>157.08589348571431</v>
      </c>
      <c r="I70" s="40">
        <f t="shared" ca="1" si="23"/>
        <v>42407</v>
      </c>
      <c r="J70" s="42">
        <f t="shared" ca="1" si="24"/>
        <v>1</v>
      </c>
      <c r="K70" s="38">
        <f ca="1">+IF(J70&gt;0,(LOOKUP(J70,'Factor Integración'!C$5:C$44,'Factor Integración'!G$5:G$44)),'Factor Integración'!$G$5)</f>
        <v>1.0452054794520547</v>
      </c>
      <c r="L70" s="125">
        <f>+IF(Q70&lt;&gt;0,LOOKUP(Q70,Tabulador!C$33:C$93,Tabulador!D$33:D$93),0)</f>
        <v>1099.6012544000002</v>
      </c>
      <c r="M70" s="127" t="str">
        <f>+IF(L70&gt;0,(LOOKUP(L70,Tabulador!E$33:E$93,Tabulador!F$33:F$93)),0)</f>
        <v>(UN MIL  PESOS  00/100 M.N.)</v>
      </c>
      <c r="N70" s="17">
        <f t="shared" ca="1" si="25"/>
        <v>164.18703661589041</v>
      </c>
      <c r="O70" s="59" t="s">
        <v>27</v>
      </c>
      <c r="P70" s="50" t="s">
        <v>207</v>
      </c>
      <c r="Q70" s="161">
        <v>5.4</v>
      </c>
      <c r="R70" s="143" t="s">
        <v>149</v>
      </c>
      <c r="S70" s="93" t="s">
        <v>879</v>
      </c>
      <c r="T70" s="129" t="s">
        <v>210</v>
      </c>
      <c r="U70" s="129" t="s">
        <v>232</v>
      </c>
      <c r="V70" s="106" t="s">
        <v>247</v>
      </c>
      <c r="W70" s="105" t="s">
        <v>248</v>
      </c>
      <c r="X70" s="138" t="s">
        <v>298</v>
      </c>
      <c r="Y70" s="180">
        <v>52877110677</v>
      </c>
      <c r="Z70" s="2" t="s">
        <v>508</v>
      </c>
      <c r="AA70" s="2" t="s">
        <v>509</v>
      </c>
      <c r="AB70" s="2" t="s">
        <v>253</v>
      </c>
      <c r="AD70" s="15">
        <v>26174</v>
      </c>
      <c r="AF70" s="160">
        <f t="shared" si="26"/>
        <v>29</v>
      </c>
      <c r="AG70" s="160">
        <f t="shared" si="27"/>
        <v>8</v>
      </c>
      <c r="AH70" s="110">
        <v>44</v>
      </c>
      <c r="AJ70" s="2" t="s">
        <v>510</v>
      </c>
      <c r="AK70" s="2" t="s">
        <v>511</v>
      </c>
      <c r="AL70" s="2" t="s">
        <v>512</v>
      </c>
      <c r="AM70" s="2" t="s">
        <v>337</v>
      </c>
      <c r="AN70" s="2" t="s">
        <v>257</v>
      </c>
      <c r="AO70" s="2" t="s">
        <v>253</v>
      </c>
      <c r="AP70" s="180">
        <v>28100</v>
      </c>
      <c r="AR70" s="176">
        <v>3139613209</v>
      </c>
      <c r="AU70" s="2" t="s">
        <v>258</v>
      </c>
      <c r="AV70" s="2" t="s">
        <v>513</v>
      </c>
      <c r="AW70" s="1" t="s">
        <v>514</v>
      </c>
      <c r="AX70" s="1" t="s">
        <v>261</v>
      </c>
    </row>
    <row r="71" spans="1:50" x14ac:dyDescent="0.2">
      <c r="A71" s="169">
        <v>278</v>
      </c>
      <c r="B71" s="139">
        <v>42121</v>
      </c>
      <c r="C71" s="176">
        <f t="shared" si="20"/>
        <v>27</v>
      </c>
      <c r="D71" s="176">
        <f t="shared" si="21"/>
        <v>4</v>
      </c>
      <c r="E71" s="16" t="str">
        <f>+LOOKUP(D71,'Factor Integración'!$L$4:$L$15,'Factor Integración'!$M$4:$M$15)</f>
        <v>Abril</v>
      </c>
      <c r="F71" s="176">
        <f t="shared" si="22"/>
        <v>2015</v>
      </c>
      <c r="G71" s="113" t="s">
        <v>157</v>
      </c>
      <c r="H71" s="182">
        <f>+IF(Q71&gt;0,(LOOKUP(Q71,Tabulador!C$34:C$93,Tabulador!D$34:D$93)/7),0)</f>
        <v>128.57142857142858</v>
      </c>
      <c r="I71" s="40">
        <f t="shared" ca="1" si="23"/>
        <v>42487</v>
      </c>
      <c r="J71" s="42">
        <f t="shared" ca="1" si="24"/>
        <v>1</v>
      </c>
      <c r="K71" s="38">
        <f ca="1">+IF(J71&gt;0,(LOOKUP(J71,'Factor Integración'!C$5:C$44,'Factor Integración'!G$5:G$44)),'Factor Integración'!$G$5)</f>
        <v>1.0452054794520547</v>
      </c>
      <c r="L71" s="125">
        <f>+IF(Q71&lt;&gt;0,LOOKUP(Q71,Tabulador!C$33:C$93,Tabulador!D$33:D$93),0)</f>
        <v>900</v>
      </c>
      <c r="M71" s="127" t="str">
        <f>+IF(L71&gt;0,(LOOKUP(L71,Tabulador!E$33:E$93,Tabulador!F$33:F$93)),0)</f>
        <v>(NOVECIENTOS  PESOS  00/100 M.N.)</v>
      </c>
      <c r="N71" s="17">
        <f t="shared" ca="1" si="25"/>
        <v>134.38356164383561</v>
      </c>
      <c r="O71" s="59" t="s">
        <v>27</v>
      </c>
      <c r="P71" s="50" t="s">
        <v>207</v>
      </c>
      <c r="Q71" s="161">
        <v>5.0999999999999996</v>
      </c>
      <c r="R71" s="143" t="s">
        <v>149</v>
      </c>
      <c r="S71" s="93" t="s">
        <v>879</v>
      </c>
      <c r="T71" s="129" t="s">
        <v>210</v>
      </c>
      <c r="U71" s="129" t="s">
        <v>240</v>
      </c>
      <c r="V71" s="106" t="s">
        <v>247</v>
      </c>
      <c r="W71" s="105" t="s">
        <v>248</v>
      </c>
      <c r="X71" s="138" t="s">
        <v>298</v>
      </c>
      <c r="Y71" s="180">
        <v>52078405975</v>
      </c>
      <c r="Z71" s="2" t="s">
        <v>617</v>
      </c>
      <c r="AA71" s="2" t="s">
        <v>618</v>
      </c>
      <c r="AB71" s="2" t="s">
        <v>253</v>
      </c>
      <c r="AD71" s="15">
        <v>31039</v>
      </c>
      <c r="AF71" s="160">
        <f t="shared" si="26"/>
        <v>23</v>
      </c>
      <c r="AG71" s="160">
        <f t="shared" si="27"/>
        <v>12</v>
      </c>
      <c r="AH71" s="110">
        <v>31</v>
      </c>
      <c r="AJ71" s="2" t="s">
        <v>619</v>
      </c>
      <c r="AK71" s="2" t="s">
        <v>620</v>
      </c>
      <c r="AL71" s="2" t="s">
        <v>621</v>
      </c>
      <c r="AM71" s="2" t="s">
        <v>622</v>
      </c>
      <c r="AN71" s="2" t="s">
        <v>257</v>
      </c>
      <c r="AO71" s="2" t="s">
        <v>253</v>
      </c>
      <c r="AQ71" s="162">
        <v>3245272</v>
      </c>
      <c r="AU71" s="2" t="s">
        <v>258</v>
      </c>
      <c r="AV71" s="2" t="s">
        <v>623</v>
      </c>
      <c r="AX71" s="1" t="s">
        <v>261</v>
      </c>
    </row>
    <row r="72" spans="1:50" x14ac:dyDescent="0.2">
      <c r="A72" s="170">
        <v>279</v>
      </c>
      <c r="B72" s="139">
        <v>42088</v>
      </c>
      <c r="C72" s="176">
        <f t="shared" si="20"/>
        <v>25</v>
      </c>
      <c r="D72" s="176">
        <f t="shared" si="21"/>
        <v>3</v>
      </c>
      <c r="E72" s="16" t="str">
        <f>+LOOKUP(D72,'Factor Integración'!$L$4:$L$15,'Factor Integración'!$M$4:$M$15)</f>
        <v>Marzo</v>
      </c>
      <c r="F72" s="176">
        <f t="shared" si="22"/>
        <v>2015</v>
      </c>
      <c r="G72" s="112" t="s">
        <v>158</v>
      </c>
      <c r="H72" s="182">
        <f>+IF(Q72&gt;0,(LOOKUP(Q72,Tabulador!C$34:C$93,Tabulador!D$34:D$93)/7),0)</f>
        <v>128.57142857142858</v>
      </c>
      <c r="I72" s="40">
        <f t="shared" ca="1" si="23"/>
        <v>42454</v>
      </c>
      <c r="J72" s="42">
        <f t="shared" ca="1" si="24"/>
        <v>1</v>
      </c>
      <c r="K72" s="38">
        <f ca="1">+IF(J72&gt;0,(LOOKUP(J72,'Factor Integración'!C$5:C$44,'Factor Integración'!G$5:G$44)),'Factor Integración'!$G$5)</f>
        <v>1.0452054794520547</v>
      </c>
      <c r="L72" s="125">
        <f>+IF(Q72&lt;&gt;0,LOOKUP(Q72,Tabulador!C$33:C$93,Tabulador!D$33:D$93),0)</f>
        <v>900</v>
      </c>
      <c r="M72" s="127" t="str">
        <f>+IF(L72&gt;0,(LOOKUP(L72,Tabulador!E$33:E$93,Tabulador!F$33:F$93)),0)</f>
        <v>(NOVECIENTOS  PESOS  00/100 M.N.)</v>
      </c>
      <c r="N72" s="17">
        <f t="shared" ca="1" si="25"/>
        <v>134.38356164383561</v>
      </c>
      <c r="O72" s="59" t="s">
        <v>27</v>
      </c>
      <c r="P72" s="50" t="s">
        <v>207</v>
      </c>
      <c r="Q72" s="161">
        <v>5.0999999999999996</v>
      </c>
      <c r="R72" s="143" t="s">
        <v>149</v>
      </c>
      <c r="S72" s="93" t="s">
        <v>879</v>
      </c>
      <c r="T72" s="128" t="s">
        <v>223</v>
      </c>
      <c r="U72" s="128" t="s">
        <v>228</v>
      </c>
      <c r="V72" s="106" t="s">
        <v>247</v>
      </c>
      <c r="W72" s="105" t="s">
        <v>248</v>
      </c>
      <c r="X72" s="138" t="s">
        <v>250</v>
      </c>
      <c r="Y72" s="180">
        <v>52109517764</v>
      </c>
      <c r="Z72" s="2" t="s">
        <v>433</v>
      </c>
      <c r="AA72" s="2" t="s">
        <v>434</v>
      </c>
      <c r="AB72" s="2" t="s">
        <v>253</v>
      </c>
      <c r="AD72" s="15">
        <v>34977</v>
      </c>
      <c r="AF72" s="160">
        <f t="shared" si="26"/>
        <v>5</v>
      </c>
      <c r="AG72" s="160">
        <f t="shared" si="27"/>
        <v>10</v>
      </c>
      <c r="AH72" s="110">
        <v>20</v>
      </c>
      <c r="AJ72" s="2" t="s">
        <v>435</v>
      </c>
      <c r="AK72" s="2" t="s">
        <v>436</v>
      </c>
      <c r="AL72" s="2" t="s">
        <v>437</v>
      </c>
      <c r="AM72" s="2" t="s">
        <v>381</v>
      </c>
      <c r="AN72" s="2" t="s">
        <v>257</v>
      </c>
      <c r="AO72" s="2" t="s">
        <v>253</v>
      </c>
      <c r="AP72" s="180">
        <v>28140</v>
      </c>
      <c r="AR72" s="176">
        <v>3137300495</v>
      </c>
      <c r="AU72" s="2" t="s">
        <v>266</v>
      </c>
      <c r="AX72" s="1" t="s">
        <v>261</v>
      </c>
    </row>
    <row r="73" spans="1:50" x14ac:dyDescent="0.2">
      <c r="A73" s="170">
        <v>280</v>
      </c>
      <c r="B73" s="139">
        <v>42149</v>
      </c>
      <c r="C73" s="176">
        <f t="shared" si="20"/>
        <v>25</v>
      </c>
      <c r="D73" s="176">
        <f t="shared" si="21"/>
        <v>5</v>
      </c>
      <c r="E73" s="16" t="str">
        <f>+LOOKUP(D73,'Factor Integración'!$L$4:$L$15,'Factor Integración'!$M$4:$M$15)</f>
        <v>Mayo</v>
      </c>
      <c r="F73" s="176">
        <f t="shared" si="22"/>
        <v>2015</v>
      </c>
      <c r="G73" s="112" t="s">
        <v>159</v>
      </c>
      <c r="H73" s="182">
        <f>+IF(Q73&gt;0,(LOOKUP(Q73,Tabulador!C$34:C$93,Tabulador!D$34:D$93)/7),0)</f>
        <v>214.21428571428572</v>
      </c>
      <c r="I73" s="40">
        <f t="shared" ca="1" si="23"/>
        <v>42515</v>
      </c>
      <c r="J73" s="42">
        <f t="shared" ca="1" si="24"/>
        <v>1</v>
      </c>
      <c r="K73" s="38">
        <f ca="1">+IF(J73&gt;0,(LOOKUP(J73,'Factor Integración'!C$5:C$44,'Factor Integración'!G$5:G$44)),'Factor Integración'!$G$5)</f>
        <v>1.0452054794520547</v>
      </c>
      <c r="L73" s="125">
        <f>+IF(Q73&lt;&gt;0,LOOKUP(Q73,Tabulador!C$33:C$93,Tabulador!D$33:D$93),0)</f>
        <v>1499.5</v>
      </c>
      <c r="M73" s="127" t="str">
        <f>+IF(L73&gt;0,(LOOKUP(L73,Tabulador!E$33:E$93,Tabulador!F$33:F$93)),0)</f>
        <v>(UN MIL CUATROCIENTOS CINCUENTA  PESOS  00/100 M.N.)</v>
      </c>
      <c r="N73" s="17">
        <f t="shared" ca="1" si="25"/>
        <v>223.89794520547943</v>
      </c>
      <c r="O73" s="59" t="s">
        <v>27</v>
      </c>
      <c r="P73" s="50" t="s">
        <v>207</v>
      </c>
      <c r="Q73" s="161">
        <v>7.3</v>
      </c>
      <c r="R73" s="93" t="s">
        <v>881</v>
      </c>
      <c r="S73" s="93" t="s">
        <v>880</v>
      </c>
      <c r="T73" s="128" t="s">
        <v>212</v>
      </c>
      <c r="U73" s="128" t="s">
        <v>227</v>
      </c>
      <c r="V73" s="106" t="s">
        <v>247</v>
      </c>
      <c r="W73" s="105" t="s">
        <v>248</v>
      </c>
      <c r="X73" s="138" t="s">
        <v>250</v>
      </c>
      <c r="Y73" s="180" t="s">
        <v>838</v>
      </c>
      <c r="Z73" s="2" t="s">
        <v>839</v>
      </c>
      <c r="AA73" s="2" t="s">
        <v>840</v>
      </c>
      <c r="AB73" s="2" t="s">
        <v>253</v>
      </c>
      <c r="AD73" s="15">
        <v>33345</v>
      </c>
      <c r="AF73" s="160">
        <f t="shared" si="26"/>
        <v>17</v>
      </c>
      <c r="AG73" s="160">
        <f t="shared" si="27"/>
        <v>4</v>
      </c>
      <c r="AH73" s="110">
        <v>24</v>
      </c>
      <c r="AJ73" s="2" t="s">
        <v>842</v>
      </c>
      <c r="AK73" s="2" t="s">
        <v>843</v>
      </c>
      <c r="AL73" s="2" t="s">
        <v>844</v>
      </c>
      <c r="AM73" s="2" t="s">
        <v>305</v>
      </c>
      <c r="AN73" s="2" t="s">
        <v>257</v>
      </c>
      <c r="AO73" s="2" t="s">
        <v>253</v>
      </c>
      <c r="AR73" s="176">
        <v>3131135254</v>
      </c>
      <c r="AU73" s="2" t="s">
        <v>258</v>
      </c>
      <c r="AV73" s="2" t="s">
        <v>845</v>
      </c>
      <c r="AX73" s="1" t="s">
        <v>261</v>
      </c>
    </row>
    <row r="74" spans="1:50" x14ac:dyDescent="0.2">
      <c r="A74" s="169">
        <v>282</v>
      </c>
      <c r="B74" s="145">
        <v>42177</v>
      </c>
      <c r="C74" s="176">
        <f t="shared" si="20"/>
        <v>22</v>
      </c>
      <c r="D74" s="176">
        <f t="shared" si="21"/>
        <v>6</v>
      </c>
      <c r="E74" s="16" t="str">
        <f>+LOOKUP(D74,'Factor Integración'!$L$4:$L$15,'Factor Integración'!$M$4:$M$15)</f>
        <v>Junio</v>
      </c>
      <c r="F74" s="176">
        <f t="shared" si="22"/>
        <v>2015</v>
      </c>
      <c r="G74" s="119" t="s">
        <v>160</v>
      </c>
      <c r="H74" s="182">
        <f>+IF(Q74&gt;0,(LOOKUP(Q74,Tabulador!C$34:C$93,Tabulador!D$34:D$93)/7),0)</f>
        <v>285.71428571428572</v>
      </c>
      <c r="I74" s="40">
        <f t="shared" ca="1" si="23"/>
        <v>42543</v>
      </c>
      <c r="J74" s="42">
        <f t="shared" ca="1" si="24"/>
        <v>1</v>
      </c>
      <c r="K74" s="38">
        <f ca="1">+IF(J74&gt;0,(LOOKUP(J74,'Factor Integración'!C$5:C$44,'Factor Integración'!G$5:G$44)),'Factor Integración'!$G$5)</f>
        <v>1.0452054794520547</v>
      </c>
      <c r="L74" s="125">
        <f>+IF(Q74&lt;&gt;0,LOOKUP(Q74,Tabulador!C$33:C$93,Tabulador!D$33:D$93),0)</f>
        <v>2000</v>
      </c>
      <c r="M74" s="127" t="str">
        <f>+IF(L74&gt;0,(LOOKUP(L74,Tabulador!E$33:E$93,Tabulador!F$33:F$93)),0)</f>
        <v>(DOS MIL  PESOS  00/100 M.N.)</v>
      </c>
      <c r="N74" s="17">
        <f t="shared" ca="1" si="25"/>
        <v>298.63013698630135</v>
      </c>
      <c r="O74" s="59" t="s">
        <v>27</v>
      </c>
      <c r="P74" s="50" t="s">
        <v>207</v>
      </c>
      <c r="Q74" s="161">
        <v>9.1</v>
      </c>
      <c r="R74" s="93" t="s">
        <v>885</v>
      </c>
      <c r="S74" s="93" t="s">
        <v>886</v>
      </c>
      <c r="T74" s="142" t="s">
        <v>216</v>
      </c>
      <c r="U74" s="128" t="s">
        <v>236</v>
      </c>
      <c r="V74" s="106" t="s">
        <v>247</v>
      </c>
      <c r="W74" s="105" t="s">
        <v>248</v>
      </c>
      <c r="X74" s="138" t="s">
        <v>298</v>
      </c>
      <c r="Y74" s="180">
        <v>52108805764</v>
      </c>
      <c r="Z74" s="2" t="s">
        <v>721</v>
      </c>
      <c r="AA74" s="2" t="s">
        <v>722</v>
      </c>
      <c r="AB74" s="2" t="s">
        <v>841</v>
      </c>
      <c r="AD74" s="15">
        <v>32189</v>
      </c>
      <c r="AF74" s="160">
        <f t="shared" si="26"/>
        <v>16</v>
      </c>
      <c r="AG74" s="160">
        <f t="shared" si="27"/>
        <v>2</v>
      </c>
      <c r="AH74" s="110">
        <v>27</v>
      </c>
      <c r="AJ74" s="2" t="s">
        <v>723</v>
      </c>
      <c r="AK74" s="2" t="s">
        <v>724</v>
      </c>
      <c r="AL74" s="2" t="s">
        <v>725</v>
      </c>
      <c r="AM74" s="2" t="s">
        <v>381</v>
      </c>
      <c r="AN74" s="2" t="s">
        <v>257</v>
      </c>
      <c r="AO74" s="2" t="s">
        <v>253</v>
      </c>
      <c r="AP74" s="180">
        <v>28140</v>
      </c>
      <c r="AQ74" s="162">
        <v>3244717</v>
      </c>
      <c r="AR74" s="176">
        <v>3141292260</v>
      </c>
      <c r="AU74" s="2" t="s">
        <v>266</v>
      </c>
      <c r="AX74" s="1" t="s">
        <v>261</v>
      </c>
    </row>
    <row r="75" spans="1:50" x14ac:dyDescent="0.2">
      <c r="A75" s="170">
        <v>283</v>
      </c>
      <c r="B75" s="139">
        <v>42178</v>
      </c>
      <c r="C75" s="176">
        <f t="shared" si="20"/>
        <v>23</v>
      </c>
      <c r="D75" s="176">
        <f t="shared" si="21"/>
        <v>6</v>
      </c>
      <c r="E75" s="16" t="str">
        <f>+LOOKUP(D75,'Factor Integración'!$L$4:$L$15,'Factor Integración'!$M$4:$M$15)</f>
        <v>Junio</v>
      </c>
      <c r="F75" s="176">
        <f t="shared" si="22"/>
        <v>2015</v>
      </c>
      <c r="G75" s="112" t="s">
        <v>161</v>
      </c>
      <c r="H75" s="182">
        <f>+IF(Q75&gt;0,(LOOKUP(Q75,Tabulador!C$34:C$93,Tabulador!D$34:D$93)/7),0)</f>
        <v>285.71428571428572</v>
      </c>
      <c r="I75" s="40">
        <f t="shared" ca="1" si="23"/>
        <v>42544</v>
      </c>
      <c r="J75" s="42">
        <f t="shared" ca="1" si="24"/>
        <v>1</v>
      </c>
      <c r="K75" s="38">
        <f ca="1">+IF(J75&gt;0,(LOOKUP(J75,'Factor Integración'!C$5:C$44,'Factor Integración'!G$5:G$44)),'Factor Integración'!$G$5)</f>
        <v>1.0452054794520547</v>
      </c>
      <c r="L75" s="125">
        <f>+IF(Q75&lt;&gt;0,LOOKUP(Q75,Tabulador!C$33:C$93,Tabulador!D$33:D$93),0)</f>
        <v>2000</v>
      </c>
      <c r="M75" s="127" t="str">
        <f>+IF(L75&gt;0,(LOOKUP(L75,Tabulador!E$33:E$93,Tabulador!F$33:F$93)),0)</f>
        <v>(DOS MIL  PESOS  00/100 M.N.)</v>
      </c>
      <c r="N75" s="17">
        <f t="shared" ca="1" si="25"/>
        <v>298.63013698630135</v>
      </c>
      <c r="O75" s="59" t="s">
        <v>27</v>
      </c>
      <c r="P75" s="50" t="s">
        <v>207</v>
      </c>
      <c r="Q75" s="161">
        <v>9.1</v>
      </c>
      <c r="R75" s="93" t="s">
        <v>885</v>
      </c>
      <c r="S75" s="93" t="s">
        <v>886</v>
      </c>
      <c r="T75" s="128" t="s">
        <v>216</v>
      </c>
      <c r="U75" s="128"/>
      <c r="V75" s="106" t="s">
        <v>247</v>
      </c>
      <c r="W75" s="105" t="s">
        <v>248</v>
      </c>
      <c r="X75" s="138" t="s">
        <v>250</v>
      </c>
      <c r="Y75" s="180">
        <v>52119016385</v>
      </c>
      <c r="Z75" s="2" t="s">
        <v>726</v>
      </c>
      <c r="AA75" s="2" t="s">
        <v>727</v>
      </c>
      <c r="AB75" s="2" t="s">
        <v>253</v>
      </c>
      <c r="AD75" s="15">
        <v>33100</v>
      </c>
      <c r="AF75" s="160">
        <f t="shared" si="26"/>
        <v>15</v>
      </c>
      <c r="AG75" s="160">
        <f t="shared" si="27"/>
        <v>8</v>
      </c>
      <c r="AH75" s="110">
        <v>25</v>
      </c>
      <c r="AJ75" s="2" t="s">
        <v>728</v>
      </c>
      <c r="AK75" s="2" t="s">
        <v>729</v>
      </c>
      <c r="AL75" s="2" t="s">
        <v>730</v>
      </c>
      <c r="AM75" s="2" t="s">
        <v>731</v>
      </c>
      <c r="AN75" s="2" t="s">
        <v>253</v>
      </c>
      <c r="AO75" s="2" t="s">
        <v>253</v>
      </c>
      <c r="AP75" s="180">
        <v>28070</v>
      </c>
      <c r="AR75" s="176">
        <v>3121524164</v>
      </c>
      <c r="AU75" s="2" t="s">
        <v>266</v>
      </c>
      <c r="AX75" s="1" t="s">
        <v>261</v>
      </c>
    </row>
    <row r="76" spans="1:50" x14ac:dyDescent="0.2">
      <c r="A76" s="170">
        <v>284</v>
      </c>
      <c r="B76" s="139">
        <v>42048</v>
      </c>
      <c r="C76" s="176">
        <f t="shared" si="20"/>
        <v>13</v>
      </c>
      <c r="D76" s="176">
        <f t="shared" si="21"/>
        <v>2</v>
      </c>
      <c r="E76" s="16" t="str">
        <f>+LOOKUP(D76,'Factor Integración'!$L$4:$L$15,'Factor Integración'!$M$4:$M$15)</f>
        <v>Febrero</v>
      </c>
      <c r="F76" s="176">
        <f t="shared" si="22"/>
        <v>2015</v>
      </c>
      <c r="G76" s="113" t="s">
        <v>162</v>
      </c>
      <c r="H76" s="182">
        <f>+IF(Q76&gt;0,(LOOKUP(Q76,Tabulador!C$34:C$93,Tabulador!D$34:D$93)/7),0)</f>
        <v>214.21428571428572</v>
      </c>
      <c r="I76" s="40">
        <f t="shared" ca="1" si="23"/>
        <v>42413</v>
      </c>
      <c r="J76" s="42">
        <f t="shared" ca="1" si="24"/>
        <v>1</v>
      </c>
      <c r="K76" s="38">
        <f ca="1">+IF(J76&gt;0,(LOOKUP(J76,'Factor Integración'!C$5:C$44,'Factor Integración'!G$5:G$44)),'Factor Integración'!$G$5)</f>
        <v>1.0452054794520547</v>
      </c>
      <c r="L76" s="125">
        <f>+IF(Q76&lt;&gt;0,LOOKUP(Q76,Tabulador!C$33:C$93,Tabulador!D$33:D$93),0)</f>
        <v>1499.5</v>
      </c>
      <c r="M76" s="127" t="str">
        <f>+IF(L76&gt;0,(LOOKUP(L76,Tabulador!E$33:E$93,Tabulador!F$33:F$93)),0)</f>
        <v>(UN MIL CUATROCIENTOS CINCUENTA  PESOS  00/100 M.N.)</v>
      </c>
      <c r="N76" s="17">
        <f t="shared" ca="1" si="25"/>
        <v>223.89794520547943</v>
      </c>
      <c r="O76" s="59" t="s">
        <v>27</v>
      </c>
      <c r="P76" s="50" t="s">
        <v>207</v>
      </c>
      <c r="Q76" s="161">
        <v>7.3</v>
      </c>
      <c r="R76" s="143" t="s">
        <v>149</v>
      </c>
      <c r="S76" s="93" t="s">
        <v>879</v>
      </c>
      <c r="T76" s="129" t="s">
        <v>210</v>
      </c>
      <c r="U76" s="129" t="s">
        <v>224</v>
      </c>
      <c r="V76" s="106" t="s">
        <v>247</v>
      </c>
      <c r="W76" s="105" t="s">
        <v>248</v>
      </c>
      <c r="X76" s="138" t="s">
        <v>250</v>
      </c>
      <c r="Y76" s="180">
        <v>52008202260</v>
      </c>
      <c r="Z76" s="2" t="s">
        <v>594</v>
      </c>
      <c r="AA76" s="2" t="s">
        <v>595</v>
      </c>
      <c r="AB76" s="2" t="s">
        <v>253</v>
      </c>
      <c r="AD76" s="15">
        <v>30301</v>
      </c>
      <c r="AF76" s="160">
        <f t="shared" si="26"/>
        <v>16</v>
      </c>
      <c r="AG76" s="160">
        <f t="shared" si="27"/>
        <v>12</v>
      </c>
      <c r="AH76" s="110">
        <v>33</v>
      </c>
      <c r="AJ76" s="2" t="s">
        <v>596</v>
      </c>
      <c r="AK76" s="2" t="s">
        <v>597</v>
      </c>
      <c r="AL76" s="2" t="s">
        <v>598</v>
      </c>
      <c r="AM76" s="2" t="s">
        <v>599</v>
      </c>
      <c r="AN76" s="2" t="s">
        <v>257</v>
      </c>
      <c r="AO76" s="2" t="s">
        <v>253</v>
      </c>
      <c r="AP76" s="180">
        <v>28111</v>
      </c>
      <c r="AR76" s="176">
        <v>3131022880</v>
      </c>
      <c r="AU76" s="2" t="s">
        <v>258</v>
      </c>
      <c r="AV76" s="2" t="s">
        <v>600</v>
      </c>
      <c r="AX76" s="1" t="s">
        <v>261</v>
      </c>
    </row>
    <row r="77" spans="1:50" x14ac:dyDescent="0.2">
      <c r="A77" s="170">
        <v>285</v>
      </c>
      <c r="B77" s="139">
        <v>42163</v>
      </c>
      <c r="C77" s="176">
        <f t="shared" si="20"/>
        <v>8</v>
      </c>
      <c r="D77" s="176">
        <f t="shared" si="21"/>
        <v>6</v>
      </c>
      <c r="E77" s="16" t="str">
        <f>+LOOKUP(D77,'Factor Integración'!$L$4:$L$15,'Factor Integración'!$M$4:$M$15)</f>
        <v>Junio</v>
      </c>
      <c r="F77" s="176">
        <f t="shared" si="22"/>
        <v>2015</v>
      </c>
      <c r="G77" s="112" t="s">
        <v>163</v>
      </c>
      <c r="H77" s="182">
        <f>+IF(Q77&gt;0,(LOOKUP(Q77,Tabulador!C$34:C$93,Tabulador!D$34:D$93)/7),0)</f>
        <v>192.92500000000001</v>
      </c>
      <c r="I77" s="40">
        <f t="shared" ca="1" si="23"/>
        <v>42529</v>
      </c>
      <c r="J77" s="42">
        <f t="shared" ca="1" si="24"/>
        <v>1</v>
      </c>
      <c r="K77" s="38">
        <f ca="1">+IF(J77&gt;0,(LOOKUP(J77,'Factor Integración'!C$5:C$44,'Factor Integración'!G$5:G$44)),'Factor Integración'!$G$5)</f>
        <v>1.0452054794520547</v>
      </c>
      <c r="L77" s="125">
        <f>+IF(Q77&lt;&gt;0,LOOKUP(Q77,Tabulador!C$33:C$93,Tabulador!D$33:D$93),0)</f>
        <v>1350.4750000000001</v>
      </c>
      <c r="M77" s="127" t="str">
        <f>+IF(L77&gt;0,(LOOKUP(L77,Tabulador!E$33:E$93,Tabulador!F$33:F$93)),0)</f>
        <v>(UN MIL TRESCIENTOS CINCUENTA  PESOS  00/100 M.N.)</v>
      </c>
      <c r="N77" s="17">
        <f t="shared" ca="1" si="25"/>
        <v>201.64626712328766</v>
      </c>
      <c r="O77" s="59" t="s">
        <v>27</v>
      </c>
      <c r="P77" s="50" t="s">
        <v>207</v>
      </c>
      <c r="Q77" s="161">
        <v>6.4</v>
      </c>
      <c r="R77" s="143" t="s">
        <v>149</v>
      </c>
      <c r="S77" s="93" t="s">
        <v>879</v>
      </c>
      <c r="T77" s="128" t="s">
        <v>219</v>
      </c>
      <c r="U77" s="128" t="s">
        <v>246</v>
      </c>
      <c r="V77" s="106" t="s">
        <v>247</v>
      </c>
      <c r="W77" s="105" t="s">
        <v>248</v>
      </c>
      <c r="X77" s="138" t="s">
        <v>250</v>
      </c>
      <c r="Y77" s="180" t="s">
        <v>756</v>
      </c>
      <c r="Z77" s="2" t="s">
        <v>757</v>
      </c>
      <c r="AA77" s="2" t="s">
        <v>758</v>
      </c>
      <c r="AB77" s="2" t="s">
        <v>253</v>
      </c>
      <c r="AD77" s="15">
        <v>32469</v>
      </c>
      <c r="AF77" s="160">
        <f t="shared" si="26"/>
        <v>22</v>
      </c>
      <c r="AG77" s="160">
        <f t="shared" si="27"/>
        <v>11</v>
      </c>
      <c r="AH77" s="110">
        <v>27</v>
      </c>
      <c r="AJ77" s="2" t="s">
        <v>759</v>
      </c>
      <c r="AK77" s="2" t="s">
        <v>760</v>
      </c>
      <c r="AL77" s="2" t="s">
        <v>761</v>
      </c>
      <c r="AM77" s="2" t="s">
        <v>762</v>
      </c>
      <c r="AN77" s="2" t="s">
        <v>748</v>
      </c>
      <c r="AO77" s="2" t="s">
        <v>253</v>
      </c>
      <c r="AP77" s="180">
        <v>28979</v>
      </c>
      <c r="AR77" s="176">
        <v>3123393662</v>
      </c>
      <c r="AU77" s="2" t="s">
        <v>266</v>
      </c>
      <c r="AX77" s="1" t="s">
        <v>261</v>
      </c>
    </row>
    <row r="78" spans="1:50" x14ac:dyDescent="0.2">
      <c r="A78" s="169">
        <v>286</v>
      </c>
      <c r="B78" s="139">
        <v>41856</v>
      </c>
      <c r="C78" s="176">
        <f t="shared" si="20"/>
        <v>5</v>
      </c>
      <c r="D78" s="176">
        <f t="shared" si="21"/>
        <v>8</v>
      </c>
      <c r="E78" s="16" t="str">
        <f>+LOOKUP(D78,'Factor Integración'!$L$4:$L$15,'Factor Integración'!$M$4:$M$15)</f>
        <v>Agosto</v>
      </c>
      <c r="F78" s="176">
        <f t="shared" si="22"/>
        <v>2014</v>
      </c>
      <c r="G78" s="112" t="s">
        <v>164</v>
      </c>
      <c r="H78" s="182">
        <f>+IF(Q78&gt;0,(LOOKUP(Q78,Tabulador!C$34:C$93,Tabulador!D$34:D$93)/7),0)</f>
        <v>157.08589348571431</v>
      </c>
      <c r="I78" s="40">
        <f t="shared" ca="1" si="23"/>
        <v>42221</v>
      </c>
      <c r="J78" s="42">
        <f t="shared" ca="1" si="24"/>
        <v>1</v>
      </c>
      <c r="K78" s="38">
        <f ca="1">+IF(J78&gt;0,(LOOKUP(J78,'Factor Integración'!C$5:C$44,'Factor Integración'!G$5:G$44)),'Factor Integración'!$G$5)</f>
        <v>1.0452054794520547</v>
      </c>
      <c r="L78" s="125">
        <f>+IF(Q78&lt;&gt;0,LOOKUP(Q78,Tabulador!C$33:C$93,Tabulador!D$33:D$93),0)</f>
        <v>1099.6012544000002</v>
      </c>
      <c r="M78" s="127" t="str">
        <f>+IF(L78&gt;0,(LOOKUP(L78,Tabulador!E$33:E$93,Tabulador!F$33:F$93)),0)</f>
        <v>(UN MIL  PESOS  00/100 M.N.)</v>
      </c>
      <c r="N78" s="17">
        <f t="shared" ca="1" si="25"/>
        <v>164.18703661589041</v>
      </c>
      <c r="O78" s="59" t="s">
        <v>27</v>
      </c>
      <c r="P78" s="50" t="s">
        <v>207</v>
      </c>
      <c r="Q78" s="161">
        <v>5.4</v>
      </c>
      <c r="R78" s="93" t="s">
        <v>881</v>
      </c>
      <c r="S78" s="93" t="s">
        <v>880</v>
      </c>
      <c r="T78" s="128" t="s">
        <v>212</v>
      </c>
      <c r="U78" s="128" t="s">
        <v>231</v>
      </c>
      <c r="V78" s="106" t="s">
        <v>247</v>
      </c>
      <c r="W78" s="105" t="s">
        <v>248</v>
      </c>
      <c r="X78" s="138" t="s">
        <v>250</v>
      </c>
      <c r="Y78" s="180">
        <v>46159756694</v>
      </c>
      <c r="Z78" s="2" t="s">
        <v>827</v>
      </c>
      <c r="AA78" s="2" t="s">
        <v>828</v>
      </c>
      <c r="AB78" s="2" t="s">
        <v>253</v>
      </c>
      <c r="AD78" s="139">
        <v>35434</v>
      </c>
      <c r="AF78" s="160">
        <f t="shared" si="26"/>
        <v>4</v>
      </c>
      <c r="AG78" s="160">
        <f t="shared" si="27"/>
        <v>1</v>
      </c>
      <c r="AH78" s="110">
        <v>18</v>
      </c>
      <c r="AJ78" s="2" t="s">
        <v>852</v>
      </c>
      <c r="AK78" s="2" t="s">
        <v>1225</v>
      </c>
      <c r="AL78" s="2" t="s">
        <v>1226</v>
      </c>
      <c r="AM78" s="2" t="s">
        <v>792</v>
      </c>
      <c r="AN78" s="2" t="s">
        <v>257</v>
      </c>
      <c r="AO78" s="2" t="s">
        <v>253</v>
      </c>
      <c r="AR78" s="176">
        <v>3131134637</v>
      </c>
      <c r="AU78" s="2" t="s">
        <v>266</v>
      </c>
      <c r="AX78" s="1" t="s">
        <v>261</v>
      </c>
    </row>
    <row r="79" spans="1:50" x14ac:dyDescent="0.2">
      <c r="A79" s="170">
        <v>288</v>
      </c>
      <c r="B79" s="139">
        <v>42219</v>
      </c>
      <c r="C79" s="176">
        <f t="shared" si="20"/>
        <v>3</v>
      </c>
      <c r="D79" s="176">
        <f t="shared" si="21"/>
        <v>8</v>
      </c>
      <c r="E79" s="16" t="str">
        <f>+LOOKUP(D79,'Factor Integración'!$L$4:$L$15,'Factor Integración'!$M$4:$M$15)</f>
        <v>Agosto</v>
      </c>
      <c r="F79" s="176">
        <f t="shared" si="22"/>
        <v>2015</v>
      </c>
      <c r="G79" s="112" t="s">
        <v>165</v>
      </c>
      <c r="H79" s="182">
        <f>+IF(Q79&gt;0,(LOOKUP(Q79,Tabulador!C$34:C$93,Tabulador!D$34:D$93)/7),0)</f>
        <v>214.21428571428572</v>
      </c>
      <c r="I79" s="40">
        <f t="shared" ca="1" si="23"/>
        <v>42219</v>
      </c>
      <c r="J79" s="42">
        <f t="shared" ca="1" si="24"/>
        <v>0</v>
      </c>
      <c r="K79" s="38">
        <f ca="1">+IF(J79&gt;0,(LOOKUP(J79,'Factor Integración'!C$5:C$44,'Factor Integración'!G$5:G$44)),'Factor Integración'!$G$5)</f>
        <v>1.0452054794520547</v>
      </c>
      <c r="L79" s="125">
        <f>+IF(Q79&lt;&gt;0,LOOKUP(Q79,Tabulador!C$33:C$93,Tabulador!D$33:D$93),0)</f>
        <v>1499.5</v>
      </c>
      <c r="M79" s="127" t="str">
        <f>+IF(L79&gt;0,(LOOKUP(L79,Tabulador!E$33:E$93,Tabulador!F$33:F$93)),0)</f>
        <v>(UN MIL CUATROCIENTOS CINCUENTA  PESOS  00/100 M.N.)</v>
      </c>
      <c r="N79" s="17">
        <f t="shared" ca="1" si="25"/>
        <v>223.89794520547943</v>
      </c>
      <c r="O79" s="59" t="s">
        <v>27</v>
      </c>
      <c r="P79" s="50" t="s">
        <v>207</v>
      </c>
      <c r="Q79" s="161">
        <v>7.3</v>
      </c>
      <c r="R79" s="93" t="s">
        <v>881</v>
      </c>
      <c r="S79" s="93" t="s">
        <v>880</v>
      </c>
      <c r="T79" s="128" t="s">
        <v>212</v>
      </c>
      <c r="U79" s="128" t="s">
        <v>231</v>
      </c>
      <c r="V79" s="106" t="s">
        <v>247</v>
      </c>
      <c r="W79" s="105" t="s">
        <v>248</v>
      </c>
      <c r="X79" s="138" t="s">
        <v>250</v>
      </c>
      <c r="Y79" s="180">
        <v>52148900211</v>
      </c>
      <c r="Z79" s="2" t="s">
        <v>794</v>
      </c>
      <c r="AA79" s="2" t="s">
        <v>793</v>
      </c>
      <c r="AB79" s="2" t="s">
        <v>253</v>
      </c>
      <c r="AD79" s="15">
        <v>32578</v>
      </c>
      <c r="AF79" s="160">
        <f t="shared" si="26"/>
        <v>11</v>
      </c>
      <c r="AG79" s="160">
        <f t="shared" si="27"/>
        <v>3</v>
      </c>
      <c r="AH79" s="110">
        <v>26</v>
      </c>
      <c r="AJ79" s="2" t="s">
        <v>795</v>
      </c>
      <c r="AL79" s="2" t="s">
        <v>796</v>
      </c>
      <c r="AM79" s="2" t="s">
        <v>797</v>
      </c>
      <c r="AN79" s="2" t="s">
        <v>257</v>
      </c>
      <c r="AO79" s="2" t="s">
        <v>253</v>
      </c>
      <c r="AP79" s="180">
        <v>28134</v>
      </c>
      <c r="AR79" s="176">
        <v>3131224217</v>
      </c>
      <c r="AU79" s="2" t="s">
        <v>258</v>
      </c>
      <c r="AX79" s="1" t="s">
        <v>261</v>
      </c>
    </row>
    <row r="80" spans="1:50" x14ac:dyDescent="0.2">
      <c r="A80" s="170">
        <v>289</v>
      </c>
      <c r="B80" s="139">
        <v>42135</v>
      </c>
      <c r="C80" s="176">
        <f t="shared" si="20"/>
        <v>11</v>
      </c>
      <c r="D80" s="176">
        <f t="shared" si="21"/>
        <v>5</v>
      </c>
      <c r="E80" s="16" t="str">
        <f>+LOOKUP(D80,'Factor Integración'!$L$4:$L$15,'Factor Integración'!$M$4:$M$15)</f>
        <v>Mayo</v>
      </c>
      <c r="F80" s="176">
        <f t="shared" si="22"/>
        <v>2015</v>
      </c>
      <c r="G80" s="112" t="s">
        <v>166</v>
      </c>
      <c r="H80" s="182">
        <f>+IF(Q80&gt;0,(LOOKUP(Q80,Tabulador!C$34:C$93,Tabulador!D$34:D$93)/7),0)</f>
        <v>214.21428571428572</v>
      </c>
      <c r="I80" s="40">
        <f t="shared" ca="1" si="23"/>
        <v>42501</v>
      </c>
      <c r="J80" s="42">
        <f t="shared" ca="1" si="24"/>
        <v>1</v>
      </c>
      <c r="K80" s="38">
        <f ca="1">+IF(J80&gt;0,(LOOKUP(J80,'Factor Integración'!C$5:C$44,'Factor Integración'!G$5:G$44)),'Factor Integración'!$G$5)</f>
        <v>1.0452054794520547</v>
      </c>
      <c r="L80" s="125">
        <f>+IF(Q80&lt;&gt;0,LOOKUP(Q80,Tabulador!C$33:C$93,Tabulador!D$33:D$93),0)</f>
        <v>1499.5</v>
      </c>
      <c r="M80" s="127" t="str">
        <f>+IF(L80&gt;0,(LOOKUP(L80,Tabulador!E$33:E$93,Tabulador!F$33:F$93)),0)</f>
        <v>(UN MIL CUATROCIENTOS CINCUENTA  PESOS  00/100 M.N.)</v>
      </c>
      <c r="N80" s="17">
        <f t="shared" ca="1" si="25"/>
        <v>223.89794520547943</v>
      </c>
      <c r="O80" s="59" t="s">
        <v>27</v>
      </c>
      <c r="P80" s="50" t="s">
        <v>207</v>
      </c>
      <c r="Q80" s="161">
        <v>7.3</v>
      </c>
      <c r="R80" s="1" t="s">
        <v>883</v>
      </c>
      <c r="S80" s="1" t="s">
        <v>884</v>
      </c>
      <c r="T80" s="128" t="s">
        <v>863</v>
      </c>
      <c r="U80" s="128" t="s">
        <v>882</v>
      </c>
      <c r="V80" s="106" t="s">
        <v>247</v>
      </c>
      <c r="W80" s="105" t="s">
        <v>248</v>
      </c>
      <c r="X80" s="138" t="s">
        <v>250</v>
      </c>
      <c r="Y80" s="180">
        <v>52119005602</v>
      </c>
      <c r="Z80" s="2" t="s">
        <v>763</v>
      </c>
      <c r="AA80" s="2" t="s">
        <v>764</v>
      </c>
      <c r="AB80" s="2" t="s">
        <v>253</v>
      </c>
      <c r="AD80" s="15">
        <v>32935</v>
      </c>
      <c r="AF80" s="160">
        <f t="shared" si="26"/>
        <v>3</v>
      </c>
      <c r="AG80" s="160">
        <f t="shared" si="27"/>
        <v>3</v>
      </c>
      <c r="AH80" s="110">
        <v>25</v>
      </c>
      <c r="AJ80" s="2" t="s">
        <v>765</v>
      </c>
      <c r="AK80" s="2" t="s">
        <v>766</v>
      </c>
      <c r="AL80" s="2" t="s">
        <v>767</v>
      </c>
      <c r="AM80" s="2" t="s">
        <v>363</v>
      </c>
      <c r="AN80" s="2" t="s">
        <v>257</v>
      </c>
      <c r="AO80" s="2" t="s">
        <v>253</v>
      </c>
      <c r="AP80" s="180">
        <v>28180</v>
      </c>
      <c r="AR80" s="176">
        <v>3131088228</v>
      </c>
      <c r="AU80" s="2" t="s">
        <v>266</v>
      </c>
      <c r="AX80" s="1" t="s">
        <v>261</v>
      </c>
    </row>
    <row r="81" spans="1:50" x14ac:dyDescent="0.2">
      <c r="A81" s="169">
        <v>290</v>
      </c>
      <c r="B81" s="145">
        <v>42103</v>
      </c>
      <c r="C81" s="176">
        <f t="shared" si="20"/>
        <v>9</v>
      </c>
      <c r="D81" s="176">
        <f t="shared" si="21"/>
        <v>4</v>
      </c>
      <c r="E81" s="16" t="str">
        <f>+LOOKUP(D81,'Factor Integración'!$L$4:$L$15,'Factor Integración'!$M$4:$M$15)</f>
        <v>Abril</v>
      </c>
      <c r="F81" s="176">
        <f t="shared" si="22"/>
        <v>2015</v>
      </c>
      <c r="G81" s="119" t="s">
        <v>167</v>
      </c>
      <c r="H81" s="182">
        <f>+IF(Q81&gt;0,(LOOKUP(Q81,Tabulador!C$34:C$93,Tabulador!D$34:D$93)/7),0)</f>
        <v>214.21428571428572</v>
      </c>
      <c r="I81" s="40">
        <f t="shared" ca="1" si="23"/>
        <v>42469</v>
      </c>
      <c r="J81" s="42">
        <f t="shared" ca="1" si="24"/>
        <v>1</v>
      </c>
      <c r="K81" s="38">
        <f ca="1">+IF(J81&gt;0,(LOOKUP(J81,'Factor Integración'!C$5:C$44,'Factor Integración'!G$5:G$44)),'Factor Integración'!$G$5)</f>
        <v>1.0452054794520547</v>
      </c>
      <c r="L81" s="125">
        <f>+IF(Q81&lt;&gt;0,LOOKUP(Q81,Tabulador!C$33:C$93,Tabulador!D$33:D$93),0)</f>
        <v>1499.5</v>
      </c>
      <c r="M81" s="127" t="str">
        <f>+IF(L81&gt;0,(LOOKUP(L81,Tabulador!E$33:E$93,Tabulador!F$33:F$93)),0)</f>
        <v>(UN MIL CUATROCIENTOS CINCUENTA  PESOS  00/100 M.N.)</v>
      </c>
      <c r="N81" s="17">
        <f t="shared" ca="1" si="25"/>
        <v>223.89794520547943</v>
      </c>
      <c r="O81" s="59" t="s">
        <v>27</v>
      </c>
      <c r="P81" s="50" t="s">
        <v>207</v>
      </c>
      <c r="Q81" s="161">
        <v>7.3</v>
      </c>
      <c r="R81" s="143" t="s">
        <v>149</v>
      </c>
      <c r="S81" s="93" t="s">
        <v>879</v>
      </c>
      <c r="T81" s="128" t="s">
        <v>214</v>
      </c>
      <c r="U81" s="128" t="s">
        <v>234</v>
      </c>
      <c r="V81" s="106" t="s">
        <v>247</v>
      </c>
      <c r="W81" s="105" t="s">
        <v>248</v>
      </c>
      <c r="X81" s="138" t="s">
        <v>250</v>
      </c>
      <c r="Y81" s="180">
        <v>52118701508</v>
      </c>
      <c r="Z81" s="2" t="s">
        <v>263</v>
      </c>
      <c r="AA81" s="2" t="s">
        <v>262</v>
      </c>
      <c r="AB81" s="2" t="s">
        <v>253</v>
      </c>
      <c r="AD81" s="15">
        <v>31845</v>
      </c>
      <c r="AF81" s="160">
        <f t="shared" si="26"/>
        <v>9</v>
      </c>
      <c r="AG81" s="160">
        <f t="shared" si="27"/>
        <v>3</v>
      </c>
      <c r="AH81" s="110">
        <v>28</v>
      </c>
      <c r="AL81" s="2" t="s">
        <v>264</v>
      </c>
      <c r="AM81" s="2" t="s">
        <v>265</v>
      </c>
      <c r="AN81" s="2" t="s">
        <v>257</v>
      </c>
      <c r="AO81" s="2" t="s">
        <v>253</v>
      </c>
      <c r="AP81" s="180">
        <v>28130</v>
      </c>
      <c r="AQ81" s="163">
        <v>3244196</v>
      </c>
      <c r="AR81" s="181" t="s">
        <v>72</v>
      </c>
      <c r="AU81" s="2" t="s">
        <v>266</v>
      </c>
      <c r="AW81" s="1" t="s">
        <v>268</v>
      </c>
      <c r="AX81" s="1" t="s">
        <v>261</v>
      </c>
    </row>
    <row r="82" spans="1:50" x14ac:dyDescent="0.2">
      <c r="A82" s="170">
        <v>291</v>
      </c>
      <c r="B82" s="139">
        <v>42208</v>
      </c>
      <c r="C82" s="176">
        <f t="shared" si="20"/>
        <v>23</v>
      </c>
      <c r="D82" s="176">
        <f t="shared" si="21"/>
        <v>7</v>
      </c>
      <c r="E82" s="16" t="str">
        <f>+LOOKUP(D82,'Factor Integración'!$L$4:$L$15,'Factor Integración'!$M$4:$M$15)</f>
        <v>Julio</v>
      </c>
      <c r="F82" s="176">
        <f t="shared" si="22"/>
        <v>2015</v>
      </c>
      <c r="G82" s="112" t="s">
        <v>168</v>
      </c>
      <c r="H82" s="182">
        <f>+IF(Q82&gt;0,(LOOKUP(Q82,Tabulador!C$34:C$93,Tabulador!D$34:D$93)/7),0)</f>
        <v>128.57142857142858</v>
      </c>
      <c r="I82" s="40">
        <f t="shared" ca="1" si="23"/>
        <v>42208</v>
      </c>
      <c r="J82" s="42">
        <f t="shared" ca="1" si="24"/>
        <v>0</v>
      </c>
      <c r="K82" s="38">
        <f ca="1">+IF(J82&gt;0,(LOOKUP(J82,'Factor Integración'!C$5:C$44,'Factor Integración'!G$5:G$44)),'Factor Integración'!$G$5)</f>
        <v>1.0452054794520547</v>
      </c>
      <c r="L82" s="125">
        <f>+IF(Q82&lt;&gt;0,LOOKUP(Q82,Tabulador!C$33:C$93,Tabulador!D$33:D$93),0)</f>
        <v>900</v>
      </c>
      <c r="M82" s="127" t="str">
        <f>+IF(L82&gt;0,(LOOKUP(L82,Tabulador!E$33:E$93,Tabulador!F$33:F$93)),0)</f>
        <v>(NOVECIENTOS  PESOS  00/100 M.N.)</v>
      </c>
      <c r="N82" s="17">
        <f t="shared" ca="1" si="25"/>
        <v>134.38356164383561</v>
      </c>
      <c r="O82" s="59" t="s">
        <v>27</v>
      </c>
      <c r="P82" s="50" t="s">
        <v>207</v>
      </c>
      <c r="Q82" s="161">
        <v>5.0999999999999996</v>
      </c>
      <c r="R82" s="143" t="s">
        <v>149</v>
      </c>
      <c r="S82" s="93" t="s">
        <v>879</v>
      </c>
      <c r="T82" s="128" t="s">
        <v>214</v>
      </c>
      <c r="U82" s="128" t="s">
        <v>225</v>
      </c>
      <c r="V82" s="106" t="s">
        <v>247</v>
      </c>
      <c r="W82" s="105" t="s">
        <v>248</v>
      </c>
      <c r="X82" s="138" t="s">
        <v>298</v>
      </c>
      <c r="Y82" s="180">
        <v>52109114679</v>
      </c>
      <c r="Z82" s="2" t="s">
        <v>290</v>
      </c>
      <c r="AA82" s="2" t="s">
        <v>291</v>
      </c>
      <c r="AB82" s="2" t="s">
        <v>292</v>
      </c>
      <c r="AD82" s="15">
        <v>33270</v>
      </c>
      <c r="AF82" s="160">
        <f t="shared" si="26"/>
        <v>1</v>
      </c>
      <c r="AG82" s="160">
        <f t="shared" si="27"/>
        <v>2</v>
      </c>
      <c r="AH82" s="110">
        <v>24</v>
      </c>
      <c r="AJ82" s="2" t="s">
        <v>293</v>
      </c>
      <c r="AK82" s="2" t="s">
        <v>294</v>
      </c>
      <c r="AL82" s="2" t="s">
        <v>926</v>
      </c>
      <c r="AM82" s="2" t="s">
        <v>337</v>
      </c>
      <c r="AN82" s="2" t="s">
        <v>257</v>
      </c>
      <c r="AO82" s="2" t="s">
        <v>253</v>
      </c>
      <c r="AR82" s="176">
        <v>3131377143</v>
      </c>
      <c r="AU82" s="2" t="s">
        <v>258</v>
      </c>
      <c r="AV82" s="2" t="s">
        <v>297</v>
      </c>
      <c r="AX82" s="1" t="s">
        <v>261</v>
      </c>
    </row>
    <row r="83" spans="1:50" x14ac:dyDescent="0.2">
      <c r="A83" s="170">
        <v>292</v>
      </c>
      <c r="B83" s="139">
        <v>42221</v>
      </c>
      <c r="C83" s="176">
        <f t="shared" si="20"/>
        <v>5</v>
      </c>
      <c r="D83" s="176">
        <f t="shared" si="21"/>
        <v>8</v>
      </c>
      <c r="E83" s="16" t="str">
        <f>+LOOKUP(D83,'Factor Integración'!$L$4:$L$15,'Factor Integración'!$M$4:$M$15)</f>
        <v>Agosto</v>
      </c>
      <c r="F83" s="176">
        <f t="shared" si="22"/>
        <v>2015</v>
      </c>
      <c r="G83" s="112" t="s">
        <v>169</v>
      </c>
      <c r="H83" s="182">
        <f>+IF(Q83&gt;0,(LOOKUP(Q83,Tabulador!C$34:C$93,Tabulador!D$34:D$93)/7),0)</f>
        <v>128.57142857142858</v>
      </c>
      <c r="I83" s="40">
        <f t="shared" ca="1" si="23"/>
        <v>42221</v>
      </c>
      <c r="J83" s="42">
        <f t="shared" ca="1" si="24"/>
        <v>0</v>
      </c>
      <c r="K83" s="38">
        <f ca="1">+IF(J83&gt;0,(LOOKUP(J83,'Factor Integración'!C$5:C$44,'Factor Integración'!G$5:G$44)),'Factor Integración'!$G$5)</f>
        <v>1.0452054794520547</v>
      </c>
      <c r="L83" s="125">
        <f>+IF(Q83&lt;&gt;0,LOOKUP(Q83,Tabulador!C$33:C$93,Tabulador!D$33:D$93),0)</f>
        <v>900</v>
      </c>
      <c r="M83" s="127" t="str">
        <f>+IF(L83&gt;0,(LOOKUP(L83,Tabulador!E$33:E$93,Tabulador!F$33:F$93)),0)</f>
        <v>(NOVECIENTOS  PESOS  00/100 M.N.)</v>
      </c>
      <c r="N83" s="17">
        <f t="shared" ca="1" si="25"/>
        <v>134.38356164383561</v>
      </c>
      <c r="O83" s="59" t="s">
        <v>27</v>
      </c>
      <c r="P83" s="50" t="s">
        <v>207</v>
      </c>
      <c r="Q83" s="161">
        <v>5.0999999999999996</v>
      </c>
      <c r="R83" s="143" t="s">
        <v>149</v>
      </c>
      <c r="S83" s="93" t="s">
        <v>879</v>
      </c>
      <c r="T83" s="128" t="s">
        <v>214</v>
      </c>
      <c r="U83" s="128" t="s">
        <v>225</v>
      </c>
      <c r="V83" s="106" t="s">
        <v>247</v>
      </c>
      <c r="W83" s="105" t="s">
        <v>248</v>
      </c>
      <c r="X83" s="138" t="s">
        <v>250</v>
      </c>
      <c r="Y83" s="180">
        <v>19159358761</v>
      </c>
      <c r="Z83" s="2" t="s">
        <v>251</v>
      </c>
      <c r="AA83" s="2" t="s">
        <v>252</v>
      </c>
      <c r="AB83" s="2" t="s">
        <v>253</v>
      </c>
      <c r="AD83" s="15">
        <v>34090</v>
      </c>
      <c r="AF83" s="160">
        <f t="shared" si="26"/>
        <v>1</v>
      </c>
      <c r="AG83" s="160">
        <f t="shared" si="27"/>
        <v>5</v>
      </c>
      <c r="AH83" s="110">
        <v>22</v>
      </c>
      <c r="AK83" s="2" t="s">
        <v>254</v>
      </c>
      <c r="AL83" s="2" t="s">
        <v>255</v>
      </c>
      <c r="AM83" s="2" t="s">
        <v>256</v>
      </c>
      <c r="AN83" s="2" t="s">
        <v>257</v>
      </c>
      <c r="AO83" s="2" t="s">
        <v>253</v>
      </c>
      <c r="AP83" s="180">
        <v>28150</v>
      </c>
      <c r="AQ83" s="162">
        <v>3225492</v>
      </c>
      <c r="AR83" s="176">
        <v>3131379118</v>
      </c>
      <c r="AU83" s="2" t="s">
        <v>258</v>
      </c>
      <c r="AV83" s="2" t="s">
        <v>259</v>
      </c>
      <c r="AW83" s="1" t="s">
        <v>267</v>
      </c>
      <c r="AX83" s="1" t="s">
        <v>261</v>
      </c>
    </row>
    <row r="84" spans="1:50" x14ac:dyDescent="0.2">
      <c r="A84" s="169">
        <v>293</v>
      </c>
      <c r="B84" s="139">
        <v>42220</v>
      </c>
      <c r="C84" s="176">
        <f t="shared" si="20"/>
        <v>4</v>
      </c>
      <c r="D84" s="176">
        <f t="shared" si="21"/>
        <v>8</v>
      </c>
      <c r="E84" s="16" t="str">
        <f>+LOOKUP(D84,'Factor Integración'!$L$4:$L$15,'Factor Integración'!$M$4:$M$15)</f>
        <v>Agosto</v>
      </c>
      <c r="F84" s="176">
        <f t="shared" si="22"/>
        <v>2015</v>
      </c>
      <c r="G84" s="113" t="s">
        <v>170</v>
      </c>
      <c r="H84" s="182">
        <f>+IF(Q84&gt;0,(LOOKUP(Q84,Tabulador!C$34:C$93,Tabulador!D$34:D$93)/7),0)</f>
        <v>285.71428571428572</v>
      </c>
      <c r="I84" s="40">
        <f t="shared" ca="1" si="23"/>
        <v>42220</v>
      </c>
      <c r="J84" s="42">
        <f t="shared" ca="1" si="24"/>
        <v>0</v>
      </c>
      <c r="K84" s="38">
        <f ca="1">+IF(J84&gt;0,(LOOKUP(J84,'Factor Integración'!C$5:C$44,'Factor Integración'!G$5:G$44)),'Factor Integración'!$G$5)</f>
        <v>1.0452054794520547</v>
      </c>
      <c r="L84" s="125">
        <f>+IF(Q84&lt;&gt;0,LOOKUP(Q84,Tabulador!C$33:C$93,Tabulador!D$33:D$93),0)</f>
        <v>2000</v>
      </c>
      <c r="M84" s="127" t="str">
        <f>+IF(L84&gt;0,(LOOKUP(L84,Tabulador!E$33:E$93,Tabulador!F$33:F$93)),0)</f>
        <v>(DOS MIL  PESOS  00/100 M.N.)</v>
      </c>
      <c r="N84" s="17">
        <f t="shared" ca="1" si="25"/>
        <v>298.63013698630135</v>
      </c>
      <c r="O84" s="59" t="s">
        <v>27</v>
      </c>
      <c r="P84" s="50" t="s">
        <v>207</v>
      </c>
      <c r="Q84" s="161">
        <v>9.1</v>
      </c>
      <c r="R84" s="143" t="s">
        <v>149</v>
      </c>
      <c r="S84" s="93" t="s">
        <v>879</v>
      </c>
      <c r="T84" s="129" t="s">
        <v>210</v>
      </c>
      <c r="U84" s="129" t="s">
        <v>232</v>
      </c>
      <c r="V84" s="106" t="s">
        <v>247</v>
      </c>
      <c r="W84" s="105" t="s">
        <v>248</v>
      </c>
      <c r="X84" s="138" t="s">
        <v>250</v>
      </c>
      <c r="Y84" s="180">
        <v>52119220219</v>
      </c>
      <c r="Z84" s="2" t="s">
        <v>515</v>
      </c>
      <c r="AA84" s="2" t="s">
        <v>516</v>
      </c>
      <c r="AB84" s="2" t="s">
        <v>253</v>
      </c>
      <c r="AD84" s="15">
        <v>33952</v>
      </c>
      <c r="AF84" s="160">
        <f t="shared" si="26"/>
        <v>14</v>
      </c>
      <c r="AG84" s="160">
        <f t="shared" si="27"/>
        <v>12</v>
      </c>
      <c r="AH84" s="110">
        <v>23</v>
      </c>
      <c r="AJ84" s="2" t="s">
        <v>517</v>
      </c>
      <c r="AK84" s="2" t="s">
        <v>518</v>
      </c>
      <c r="AL84" s="2" t="s">
        <v>519</v>
      </c>
      <c r="AM84" s="2" t="s">
        <v>520</v>
      </c>
      <c r="AN84" s="2" t="s">
        <v>257</v>
      </c>
      <c r="AO84" s="2" t="s">
        <v>253</v>
      </c>
      <c r="AP84" s="180">
        <v>20140</v>
      </c>
      <c r="AR84" s="176">
        <v>3131001726</v>
      </c>
      <c r="AU84" s="2" t="s">
        <v>266</v>
      </c>
      <c r="AX84" s="1" t="s">
        <v>261</v>
      </c>
    </row>
    <row r="85" spans="1:50" x14ac:dyDescent="0.2">
      <c r="A85" s="170">
        <v>294</v>
      </c>
      <c r="B85" s="139">
        <v>42186</v>
      </c>
      <c r="C85" s="176">
        <f t="shared" si="20"/>
        <v>1</v>
      </c>
      <c r="D85" s="176">
        <f t="shared" si="21"/>
        <v>7</v>
      </c>
      <c r="E85" s="16" t="str">
        <f>+LOOKUP(D85,'Factor Integración'!$L$4:$L$15,'Factor Integración'!$M$4:$M$15)</f>
        <v>Julio</v>
      </c>
      <c r="F85" s="176">
        <f t="shared" si="22"/>
        <v>2015</v>
      </c>
      <c r="G85" s="112" t="s">
        <v>171</v>
      </c>
      <c r="H85" s="182">
        <f>+IF(Q85&gt;0,(LOOKUP(Q85,Tabulador!C$34:C$93,Tabulador!D$34:D$93)/7),0)</f>
        <v>128.57142857142858</v>
      </c>
      <c r="I85" s="40">
        <f t="shared" ca="1" si="23"/>
        <v>42552</v>
      </c>
      <c r="J85" s="42">
        <f t="shared" ca="1" si="24"/>
        <v>1</v>
      </c>
      <c r="K85" s="38">
        <f ca="1">+IF(J85&gt;0,(LOOKUP(J85,'Factor Integración'!C$5:C$44,'Factor Integración'!G$5:G$44)),'Factor Integración'!$G$5)</f>
        <v>1.0452054794520547</v>
      </c>
      <c r="L85" s="125">
        <f>+IF(Q85&lt;&gt;0,LOOKUP(Q85,Tabulador!C$33:C$93,Tabulador!D$33:D$93),0)</f>
        <v>900</v>
      </c>
      <c r="M85" s="127" t="str">
        <f>+IF(L85&gt;0,(LOOKUP(L85,Tabulador!E$33:E$93,Tabulador!F$33:F$93)),0)</f>
        <v>(NOVECIENTOS  PESOS  00/100 M.N.)</v>
      </c>
      <c r="N85" s="17">
        <f t="shared" ca="1" si="25"/>
        <v>134.38356164383561</v>
      </c>
      <c r="O85" s="59" t="s">
        <v>27</v>
      </c>
      <c r="P85" s="50" t="s">
        <v>207</v>
      </c>
      <c r="Q85" s="161">
        <v>5.0999999999999996</v>
      </c>
      <c r="R85" s="143" t="s">
        <v>149</v>
      </c>
      <c r="S85" s="93" t="s">
        <v>879</v>
      </c>
      <c r="T85" s="128" t="s">
        <v>214</v>
      </c>
      <c r="U85" s="128" t="s">
        <v>225</v>
      </c>
      <c r="V85" s="106" t="s">
        <v>247</v>
      </c>
      <c r="W85" s="105" t="s">
        <v>248</v>
      </c>
      <c r="X85" s="138" t="s">
        <v>250</v>
      </c>
      <c r="Y85" s="180">
        <v>68159626131</v>
      </c>
      <c r="Z85" s="2" t="s">
        <v>327</v>
      </c>
      <c r="AA85" s="2" t="s">
        <v>328</v>
      </c>
      <c r="AB85" s="2" t="s">
        <v>253</v>
      </c>
      <c r="AD85" s="15">
        <v>35225</v>
      </c>
      <c r="AF85" s="160">
        <f t="shared" si="26"/>
        <v>9</v>
      </c>
      <c r="AG85" s="160">
        <f t="shared" si="27"/>
        <v>6</v>
      </c>
      <c r="AH85" s="110">
        <v>19</v>
      </c>
      <c r="AJ85" s="2" t="s">
        <v>329</v>
      </c>
      <c r="AK85" s="2" t="s">
        <v>330</v>
      </c>
      <c r="AL85" s="2" t="s">
        <v>295</v>
      </c>
      <c r="AM85" s="2" t="s">
        <v>296</v>
      </c>
      <c r="AN85" s="2" t="s">
        <v>257</v>
      </c>
      <c r="AO85" s="2" t="s">
        <v>253</v>
      </c>
      <c r="AP85" s="180">
        <v>28130</v>
      </c>
      <c r="AQ85" s="162">
        <v>3299907</v>
      </c>
      <c r="AR85" s="176">
        <v>3133282774</v>
      </c>
      <c r="AU85" s="2" t="s">
        <v>266</v>
      </c>
      <c r="AX85" s="1" t="s">
        <v>261</v>
      </c>
    </row>
    <row r="86" spans="1:50" x14ac:dyDescent="0.2">
      <c r="A86" s="170">
        <v>801</v>
      </c>
      <c r="B86" s="139">
        <v>40880</v>
      </c>
      <c r="C86" s="176">
        <f t="shared" si="20"/>
        <v>3</v>
      </c>
      <c r="D86" s="176">
        <f t="shared" si="21"/>
        <v>12</v>
      </c>
      <c r="E86" s="16" t="str">
        <f>+LOOKUP(D86,'Factor Integración'!$L$4:$L$15,'Factor Integración'!$M$4:$M$15)</f>
        <v>Diciembre</v>
      </c>
      <c r="F86" s="176">
        <f t="shared" si="22"/>
        <v>2011</v>
      </c>
      <c r="G86" s="112" t="s">
        <v>172</v>
      </c>
      <c r="H86" s="182">
        <f>+IF(Q86&gt;0,(LOOKUP(Q86,Tabulador!C$34:C$93,Tabulador!D$34:D$93)/7),0)</f>
        <v>214.21428571428572</v>
      </c>
      <c r="I86" s="40">
        <f t="shared" ca="1" si="23"/>
        <v>42341</v>
      </c>
      <c r="J86" s="42">
        <f t="shared" ca="1" si="24"/>
        <v>4</v>
      </c>
      <c r="K86" s="38">
        <f ca="1">+IF(J86&gt;0,(LOOKUP(J86,'Factor Integración'!C$5:C$44,'Factor Integración'!G$5:G$44)),'Factor Integración'!$G$5)</f>
        <v>1.0493150684931507</v>
      </c>
      <c r="L86" s="125">
        <f>+IF(Q86&lt;&gt;0,LOOKUP(Q86,Tabulador!C$33:C$93,Tabulador!D$33:D$93),0)</f>
        <v>1499.5</v>
      </c>
      <c r="M86" s="127" t="str">
        <f>+IF(L86&gt;0,(LOOKUP(L86,Tabulador!E$33:E$93,Tabulador!F$33:F$93)),0)</f>
        <v>(UN MIL CUATROCIENTOS CINCUENTA  PESOS  00/100 M.N.)</v>
      </c>
      <c r="N86" s="17">
        <f t="shared" ca="1" si="25"/>
        <v>224.77827788649708</v>
      </c>
      <c r="O86" s="59" t="s">
        <v>27</v>
      </c>
      <c r="P86" s="50" t="s">
        <v>207</v>
      </c>
      <c r="Q86" s="161">
        <v>7.3</v>
      </c>
      <c r="R86" s="93" t="s">
        <v>881</v>
      </c>
      <c r="S86" s="93" t="s">
        <v>880</v>
      </c>
      <c r="T86" s="128" t="s">
        <v>213</v>
      </c>
      <c r="U86" s="128" t="s">
        <v>213</v>
      </c>
      <c r="V86" s="106" t="s">
        <v>247</v>
      </c>
      <c r="W86" s="105" t="s">
        <v>248</v>
      </c>
      <c r="X86" s="138" t="s">
        <v>250</v>
      </c>
      <c r="Y86" s="180">
        <v>52108906547</v>
      </c>
      <c r="Z86" s="2" t="s">
        <v>775</v>
      </c>
      <c r="AA86" s="2" t="s">
        <v>776</v>
      </c>
      <c r="AB86" s="2" t="s">
        <v>253</v>
      </c>
      <c r="AD86" s="15">
        <v>32700</v>
      </c>
      <c r="AF86" s="160">
        <f t="shared" si="26"/>
        <v>11</v>
      </c>
      <c r="AG86" s="160">
        <f t="shared" si="27"/>
        <v>7</v>
      </c>
      <c r="AH86" s="110">
        <v>26</v>
      </c>
      <c r="AJ86" s="2" t="s">
        <v>777</v>
      </c>
      <c r="AK86" s="2" t="s">
        <v>778</v>
      </c>
      <c r="AL86" s="2" t="s">
        <v>913</v>
      </c>
      <c r="AM86" s="2" t="s">
        <v>432</v>
      </c>
      <c r="AN86" s="2" t="s">
        <v>257</v>
      </c>
      <c r="AO86" s="2" t="s">
        <v>253</v>
      </c>
      <c r="AR86" s="176">
        <v>3131088846</v>
      </c>
      <c r="AX86" s="1" t="s">
        <v>261</v>
      </c>
    </row>
    <row r="87" spans="1:50" x14ac:dyDescent="0.2">
      <c r="A87" s="172" t="s">
        <v>90</v>
      </c>
      <c r="B87" s="15">
        <v>42307</v>
      </c>
      <c r="C87" s="176">
        <f t="shared" si="20"/>
        <v>30</v>
      </c>
      <c r="D87" s="176">
        <f t="shared" si="21"/>
        <v>10</v>
      </c>
      <c r="E87" s="16" t="str">
        <f>+LOOKUP(D87,'Factor Integración'!$L$4:$L$15,'Factor Integración'!$M$4:$M$15)</f>
        <v>Octubre</v>
      </c>
      <c r="F87" s="176">
        <f t="shared" si="22"/>
        <v>2015</v>
      </c>
      <c r="G87" s="114" t="s">
        <v>173</v>
      </c>
      <c r="H87" s="182">
        <f>+IF(Q87&gt;0,(LOOKUP(Q87,Tabulador!C$34:C$93,Tabulador!D$34:D$93)/7),0)</f>
        <v>142.80320000000003</v>
      </c>
      <c r="I87" s="40">
        <f t="shared" ca="1" si="23"/>
        <v>42307</v>
      </c>
      <c r="J87" s="42">
        <f t="shared" ca="1" si="24"/>
        <v>0</v>
      </c>
      <c r="K87" s="38">
        <f ca="1">+IF(J87&gt;0,(LOOKUP(J87,'Factor Integración'!C$5:C$44,'Factor Integración'!G$5:G$44)),'Factor Integración'!$G$5)</f>
        <v>1.0452054794520547</v>
      </c>
      <c r="L87" s="125">
        <f>+IF(Q87&lt;&gt;0,LOOKUP(Q87,Tabulador!C$33:C$93,Tabulador!D$33:D$93),0)</f>
        <v>999.6224000000002</v>
      </c>
      <c r="M87" s="127" t="str">
        <f>+IF(L87&gt;0,(LOOKUP(L87,Tabulador!E$33:E$93,Tabulador!F$33:F$93)),0)</f>
        <v>(NOVECIENTOS CINCUENTA  PESOS  00/100 M.N.)</v>
      </c>
      <c r="N87" s="17">
        <f t="shared" ca="1" si="25"/>
        <v>149.2586871232877</v>
      </c>
      <c r="O87" s="59" t="s">
        <v>27</v>
      </c>
      <c r="P87" s="50" t="s">
        <v>207</v>
      </c>
      <c r="Q87" s="161">
        <v>5.3</v>
      </c>
      <c r="R87" s="93" t="s">
        <v>881</v>
      </c>
      <c r="S87" s="93" t="s">
        <v>880</v>
      </c>
      <c r="T87" s="142" t="s">
        <v>212</v>
      </c>
      <c r="U87" s="130"/>
      <c r="V87" s="106" t="s">
        <v>247</v>
      </c>
      <c r="W87" s="105" t="s">
        <v>248</v>
      </c>
      <c r="X87" s="138" t="s">
        <v>298</v>
      </c>
      <c r="AF87" s="160">
        <f t="shared" si="26"/>
        <v>0</v>
      </c>
      <c r="AG87" s="160">
        <f t="shared" si="27"/>
        <v>1</v>
      </c>
    </row>
    <row r="88" spans="1:50" x14ac:dyDescent="0.2">
      <c r="A88" s="173"/>
      <c r="B88" s="139">
        <v>42248</v>
      </c>
      <c r="C88" s="176">
        <f t="shared" si="20"/>
        <v>1</v>
      </c>
      <c r="D88" s="176">
        <f t="shared" si="21"/>
        <v>9</v>
      </c>
      <c r="E88" s="16" t="str">
        <f>+LOOKUP(D88,'Factor Integración'!$L$4:$L$15,'Factor Integración'!$M$4:$M$15)</f>
        <v>Septiembre</v>
      </c>
      <c r="F88" s="176">
        <f t="shared" si="22"/>
        <v>2015</v>
      </c>
      <c r="G88" s="115" t="s">
        <v>174</v>
      </c>
      <c r="H88" s="182">
        <f>+IF(Q88&gt;0,(LOOKUP(Q88,Tabulador!C$34:C$93,Tabulador!D$34:D$93)/7),0)</f>
        <v>42.857142857142854</v>
      </c>
      <c r="I88" s="40">
        <f t="shared" ca="1" si="23"/>
        <v>42248</v>
      </c>
      <c r="J88" s="42">
        <f t="shared" ca="1" si="24"/>
        <v>0</v>
      </c>
      <c r="K88" s="38">
        <f ca="1">+IF(J88&gt;0,(LOOKUP(J88,'Factor Integración'!C$5:C$44,'Factor Integración'!G$5:G$44)),'Factor Integración'!$G$5)</f>
        <v>1.0452054794520547</v>
      </c>
      <c r="L88" s="125">
        <f>+IF(Q88&lt;&gt;0,LOOKUP(Q88,Tabulador!C$33:C$93,Tabulador!D$33:D$93),0)</f>
        <v>300</v>
      </c>
      <c r="M88" s="127" t="str">
        <f>+IF(L88&gt;0,(LOOKUP(L88,Tabulador!E$33:E$93,Tabulador!F$33:F$93)),0)</f>
        <v>(TRESCIENTOS  PESOS  00/100 M.N.)</v>
      </c>
      <c r="N88" s="17">
        <f t="shared" ca="1" si="25"/>
        <v>44.794520547945197</v>
      </c>
      <c r="O88" s="59" t="s">
        <v>27</v>
      </c>
      <c r="P88" s="50" t="s">
        <v>207</v>
      </c>
      <c r="Q88" s="161">
        <v>2.1</v>
      </c>
      <c r="R88" s="143" t="s">
        <v>149</v>
      </c>
      <c r="S88" s="93" t="s">
        <v>879</v>
      </c>
      <c r="T88" s="131" t="s">
        <v>214</v>
      </c>
      <c r="U88" s="131" t="s">
        <v>225</v>
      </c>
      <c r="V88" s="106" t="s">
        <v>247</v>
      </c>
      <c r="W88" s="105" t="s">
        <v>248</v>
      </c>
      <c r="X88" s="138" t="s">
        <v>298</v>
      </c>
      <c r="AD88" s="15">
        <v>35988</v>
      </c>
      <c r="AF88" s="160">
        <f t="shared" si="26"/>
        <v>12</v>
      </c>
      <c r="AG88" s="160">
        <f t="shared" si="27"/>
        <v>7</v>
      </c>
      <c r="AH88" s="110">
        <v>17</v>
      </c>
      <c r="AJ88" s="2" t="s">
        <v>275</v>
      </c>
      <c r="AK88" s="2" t="s">
        <v>276</v>
      </c>
      <c r="AL88" s="2" t="s">
        <v>277</v>
      </c>
      <c r="AM88" s="2" t="s">
        <v>278</v>
      </c>
      <c r="AN88" s="2" t="s">
        <v>257</v>
      </c>
      <c r="AO88" s="2" t="s">
        <v>253</v>
      </c>
      <c r="AP88" s="180">
        <v>28300</v>
      </c>
      <c r="AQ88" s="162">
        <v>3131200842</v>
      </c>
      <c r="AR88" s="176">
        <v>3131034532</v>
      </c>
      <c r="AU88" s="2" t="s">
        <v>266</v>
      </c>
    </row>
    <row r="89" spans="1:50" x14ac:dyDescent="0.2">
      <c r="A89" s="173"/>
      <c r="B89" s="139">
        <v>42248</v>
      </c>
      <c r="C89" s="176">
        <f t="shared" si="20"/>
        <v>1</v>
      </c>
      <c r="D89" s="176">
        <f t="shared" si="21"/>
        <v>9</v>
      </c>
      <c r="E89" s="16" t="str">
        <f>+LOOKUP(D89,'Factor Integración'!$L$4:$L$15,'Factor Integración'!$M$4:$M$15)</f>
        <v>Septiembre</v>
      </c>
      <c r="F89" s="176">
        <f>+YEAR(B89)</f>
        <v>2015</v>
      </c>
      <c r="G89" s="114" t="s">
        <v>175</v>
      </c>
      <c r="H89" s="182">
        <f>+IF(Q89&gt;0,(LOOKUP(Q89,Tabulador!C$34:C$93,Tabulador!D$34:D$93)/7),0)</f>
        <v>128.57142857142858</v>
      </c>
      <c r="I89" s="40">
        <f t="shared" ca="1" si="23"/>
        <v>42248</v>
      </c>
      <c r="J89" s="42">
        <f t="shared" ca="1" si="24"/>
        <v>0</v>
      </c>
      <c r="K89" s="38">
        <f ca="1">+IF(J89&gt;0,(LOOKUP(J89,'Factor Integración'!C$5:C$44,'Factor Integración'!G$5:G$44)),'Factor Integración'!$G$5)</f>
        <v>1.0452054794520547</v>
      </c>
      <c r="L89" s="125">
        <f>+IF(Q89&lt;&gt;0,LOOKUP(Q89,Tabulador!C$33:C$93,Tabulador!D$33:D$93),0)</f>
        <v>900</v>
      </c>
      <c r="M89" s="127" t="str">
        <f>+IF(L89&gt;0,(LOOKUP(L89,Tabulador!E$33:E$93,Tabulador!F$33:F$93)),0)</f>
        <v>(NOVECIENTOS  PESOS  00/100 M.N.)</v>
      </c>
      <c r="N89" s="17">
        <f t="shared" ca="1" si="25"/>
        <v>134.38356164383561</v>
      </c>
      <c r="O89" s="59" t="s">
        <v>27</v>
      </c>
      <c r="P89" s="50" t="s">
        <v>207</v>
      </c>
      <c r="Q89" s="161">
        <v>5.0999999999999996</v>
      </c>
      <c r="R89" s="143" t="s">
        <v>149</v>
      </c>
      <c r="S89" s="93" t="s">
        <v>879</v>
      </c>
      <c r="T89" s="130" t="s">
        <v>214</v>
      </c>
      <c r="U89" s="130" t="s">
        <v>306</v>
      </c>
      <c r="V89" s="106" t="s">
        <v>247</v>
      </c>
      <c r="W89" s="105" t="s">
        <v>248</v>
      </c>
      <c r="X89" s="138" t="s">
        <v>298</v>
      </c>
      <c r="AD89" s="15">
        <v>31930</v>
      </c>
      <c r="AF89" s="160">
        <f t="shared" si="26"/>
        <v>2</v>
      </c>
      <c r="AG89" s="160">
        <f t="shared" si="27"/>
        <v>6</v>
      </c>
      <c r="AH89" s="110">
        <v>28</v>
      </c>
      <c r="AJ89" s="2" t="s">
        <v>286</v>
      </c>
      <c r="AK89" s="2" t="s">
        <v>287</v>
      </c>
      <c r="AL89" s="2" t="s">
        <v>288</v>
      </c>
      <c r="AM89" s="2" t="s">
        <v>289</v>
      </c>
      <c r="AN89" s="2" t="s">
        <v>257</v>
      </c>
      <c r="AO89" s="2" t="s">
        <v>253</v>
      </c>
      <c r="AQ89" s="162">
        <v>1251332</v>
      </c>
      <c r="AR89" s="176">
        <v>3131117869</v>
      </c>
      <c r="AU89" s="2" t="s">
        <v>266</v>
      </c>
    </row>
    <row r="90" spans="1:50" x14ac:dyDescent="0.2">
      <c r="A90" s="173"/>
      <c r="B90" s="139">
        <v>41246</v>
      </c>
      <c r="C90" s="176">
        <f t="shared" si="20"/>
        <v>3</v>
      </c>
      <c r="D90" s="176">
        <f t="shared" si="21"/>
        <v>12</v>
      </c>
      <c r="E90" s="16" t="str">
        <f>+LOOKUP(D90,'Factor Integración'!$L$4:$L$15,'Factor Integración'!$M$4:$M$15)</f>
        <v>Diciembre</v>
      </c>
      <c r="F90" s="176">
        <f t="shared" si="22"/>
        <v>2012</v>
      </c>
      <c r="G90" s="114" t="s">
        <v>176</v>
      </c>
      <c r="H90" s="182">
        <f>+IF(Q90&gt;0,(LOOKUP(Q90,Tabulador!C$34:C$93,Tabulador!D$34:D$93)/7),0)</f>
        <v>128.57142857142858</v>
      </c>
      <c r="I90" s="40">
        <f t="shared" ca="1" si="23"/>
        <v>42341</v>
      </c>
      <c r="J90" s="42">
        <f t="shared" ca="1" si="24"/>
        <v>3</v>
      </c>
      <c r="K90" s="38">
        <f ca="1">+IF(J90&gt;0,(LOOKUP(J90,'Factor Integración'!C$5:C$44,'Factor Integración'!G$5:G$44)),'Factor Integración'!$G$5)</f>
        <v>1.047945205479452</v>
      </c>
      <c r="L90" s="125">
        <f>+IF(Q90&lt;&gt;0,LOOKUP(Q90,Tabulador!C$33:C$93,Tabulador!D$33:D$93),0)</f>
        <v>900</v>
      </c>
      <c r="M90" s="127" t="str">
        <f>+IF(L90&gt;0,(LOOKUP(L90,Tabulador!E$33:E$93,Tabulador!F$33:F$93)),0)</f>
        <v>(NOVECIENTOS  PESOS  00/100 M.N.)</v>
      </c>
      <c r="N90" s="17">
        <f t="shared" ca="1" si="25"/>
        <v>134.73581213307241</v>
      </c>
      <c r="O90" s="59" t="s">
        <v>27</v>
      </c>
      <c r="P90" s="50" t="s">
        <v>207</v>
      </c>
      <c r="Q90" s="161">
        <v>5.0999999999999996</v>
      </c>
      <c r="R90" s="143" t="s">
        <v>149</v>
      </c>
      <c r="S90" s="93" t="s">
        <v>879</v>
      </c>
      <c r="T90" s="130" t="s">
        <v>214</v>
      </c>
      <c r="U90" s="130" t="s">
        <v>225</v>
      </c>
      <c r="V90" s="106" t="s">
        <v>247</v>
      </c>
      <c r="W90" s="105" t="s">
        <v>248</v>
      </c>
      <c r="X90" s="138" t="s">
        <v>298</v>
      </c>
      <c r="Z90" s="2" t="s">
        <v>307</v>
      </c>
      <c r="AA90" s="2" t="s">
        <v>308</v>
      </c>
      <c r="AB90" s="2" t="s">
        <v>253</v>
      </c>
      <c r="AD90" s="15">
        <v>32417</v>
      </c>
      <c r="AF90" s="160">
        <f t="shared" si="26"/>
        <v>1</v>
      </c>
      <c r="AG90" s="160">
        <f t="shared" si="27"/>
        <v>10</v>
      </c>
      <c r="AH90" s="110">
        <v>27</v>
      </c>
      <c r="AJ90" s="2" t="s">
        <v>309</v>
      </c>
      <c r="AK90" s="2" t="s">
        <v>310</v>
      </c>
      <c r="AL90" s="2" t="s">
        <v>935</v>
      </c>
      <c r="AM90" s="2" t="s">
        <v>936</v>
      </c>
      <c r="AN90" s="2" t="s">
        <v>257</v>
      </c>
      <c r="AO90" s="2" t="s">
        <v>253</v>
      </c>
      <c r="AP90" s="180">
        <v>28020</v>
      </c>
      <c r="AQ90" s="162">
        <v>3244154</v>
      </c>
      <c r="AR90" s="176">
        <v>3141167365</v>
      </c>
      <c r="AU90" s="2" t="s">
        <v>266</v>
      </c>
      <c r="AW90" s="1" t="s">
        <v>312</v>
      </c>
    </row>
    <row r="91" spans="1:50" x14ac:dyDescent="0.2">
      <c r="A91" s="173"/>
      <c r="B91" s="139">
        <v>42290</v>
      </c>
      <c r="C91" s="176">
        <f t="shared" si="20"/>
        <v>13</v>
      </c>
      <c r="D91" s="176">
        <f t="shared" si="21"/>
        <v>10</v>
      </c>
      <c r="E91" s="16" t="str">
        <f>+LOOKUP(D91,'Factor Integración'!$L$4:$L$15,'Factor Integración'!$M$4:$M$15)</f>
        <v>Octubre</v>
      </c>
      <c r="F91" s="176">
        <f t="shared" si="22"/>
        <v>2015</v>
      </c>
      <c r="G91" s="114" t="s">
        <v>177</v>
      </c>
      <c r="H91" s="182">
        <f>+IF(Q91&gt;0,(LOOKUP(Q91,Tabulador!C$34:C$93,Tabulador!D$34:D$93)/7),0)</f>
        <v>128.57142857142858</v>
      </c>
      <c r="I91" s="40">
        <f t="shared" ca="1" si="23"/>
        <v>42290</v>
      </c>
      <c r="J91" s="42">
        <f t="shared" ca="1" si="24"/>
        <v>0</v>
      </c>
      <c r="K91" s="38">
        <f ca="1">+IF(J91&gt;0,(LOOKUP(J91,'Factor Integración'!C$5:C$44,'Factor Integración'!G$5:G$44)),'Factor Integración'!$G$5)</f>
        <v>1.0452054794520547</v>
      </c>
      <c r="L91" s="125">
        <f>+IF(Q91&lt;&gt;0,LOOKUP(Q91,Tabulador!C$33:C$93,Tabulador!D$33:D$93),0)</f>
        <v>900</v>
      </c>
      <c r="M91" s="127" t="str">
        <f>+IF(L91&gt;0,(LOOKUP(L91,Tabulador!E$33:E$93,Tabulador!F$33:F$93)),0)</f>
        <v>(NOVECIENTOS  PESOS  00/100 M.N.)</v>
      </c>
      <c r="N91" s="17">
        <f t="shared" ca="1" si="25"/>
        <v>134.38356164383561</v>
      </c>
      <c r="O91" s="59" t="s">
        <v>27</v>
      </c>
      <c r="P91" s="50" t="s">
        <v>207</v>
      </c>
      <c r="Q91" s="161">
        <v>5.0999999999999996</v>
      </c>
      <c r="R91" s="143" t="s">
        <v>149</v>
      </c>
      <c r="S91" s="93" t="s">
        <v>879</v>
      </c>
      <c r="T91" s="130" t="s">
        <v>214</v>
      </c>
      <c r="U91" s="130" t="s">
        <v>225</v>
      </c>
      <c r="V91" s="106" t="s">
        <v>247</v>
      </c>
      <c r="W91" s="105" t="s">
        <v>248</v>
      </c>
      <c r="X91" s="138" t="s">
        <v>298</v>
      </c>
      <c r="Z91" s="2" t="s">
        <v>319</v>
      </c>
      <c r="AA91" s="2" t="s">
        <v>320</v>
      </c>
      <c r="AB91" s="2" t="s">
        <v>253</v>
      </c>
      <c r="AD91" s="15">
        <v>34208</v>
      </c>
      <c r="AF91" s="160">
        <f t="shared" si="26"/>
        <v>27</v>
      </c>
      <c r="AG91" s="160">
        <f t="shared" si="27"/>
        <v>8</v>
      </c>
      <c r="AH91" s="110">
        <v>22</v>
      </c>
      <c r="AL91" s="2" t="s">
        <v>321</v>
      </c>
      <c r="AM91" s="2" t="s">
        <v>326</v>
      </c>
      <c r="AN91" s="2" t="s">
        <v>257</v>
      </c>
      <c r="AO91" s="2" t="s">
        <v>253</v>
      </c>
      <c r="AP91" s="180">
        <v>28180</v>
      </c>
      <c r="AR91" s="176">
        <v>3131126427</v>
      </c>
    </row>
    <row r="92" spans="1:50" x14ac:dyDescent="0.2">
      <c r="A92" s="173"/>
      <c r="B92" s="139">
        <v>42226</v>
      </c>
      <c r="C92" s="176">
        <f t="shared" si="20"/>
        <v>10</v>
      </c>
      <c r="D92" s="176">
        <f t="shared" si="21"/>
        <v>8</v>
      </c>
      <c r="E92" s="16" t="str">
        <f>+LOOKUP(D92,'Factor Integración'!$L$4:$L$15,'Factor Integración'!$M$4:$M$15)</f>
        <v>Agosto</v>
      </c>
      <c r="F92" s="176">
        <f t="shared" si="22"/>
        <v>2015</v>
      </c>
      <c r="G92" s="114" t="s">
        <v>322</v>
      </c>
      <c r="H92" s="182">
        <f>+IF(Q92&gt;0,(LOOKUP(Q92,Tabulador!C$34:C$93,Tabulador!D$34:D$93)/7),0)</f>
        <v>71.428571428571431</v>
      </c>
      <c r="I92" s="40">
        <f t="shared" ca="1" si="23"/>
        <v>42226</v>
      </c>
      <c r="J92" s="42">
        <f t="shared" ca="1" si="24"/>
        <v>0</v>
      </c>
      <c r="K92" s="38">
        <f ca="1">+IF(J92&gt;0,(LOOKUP(J92,'Factor Integración'!C$5:C$44,'Factor Integración'!G$5:G$44)),'Factor Integración'!$G$5)</f>
        <v>1.0452054794520547</v>
      </c>
      <c r="L92" s="125">
        <f>+IF(Q92&lt;&gt;0,LOOKUP(Q92,Tabulador!C$33:C$93,Tabulador!D$33:D$93),0)</f>
        <v>500</v>
      </c>
      <c r="M92" s="127" t="str">
        <f>+IF(L92&gt;0,(LOOKUP(L92,Tabulador!E$33:E$93,Tabulador!F$33:F$93)),0)</f>
        <v>(QUINIENTOS  PESOS  00/100 M.N.)</v>
      </c>
      <c r="N92" s="17">
        <f t="shared" ca="1" si="25"/>
        <v>74.657534246575338</v>
      </c>
      <c r="O92" s="59" t="s">
        <v>27</v>
      </c>
      <c r="P92" s="50" t="s">
        <v>207</v>
      </c>
      <c r="Q92" s="161">
        <v>3.1</v>
      </c>
      <c r="R92" s="143" t="s">
        <v>149</v>
      </c>
      <c r="S92" s="93" t="s">
        <v>879</v>
      </c>
      <c r="T92" s="130" t="s">
        <v>214</v>
      </c>
      <c r="U92" s="130" t="s">
        <v>225</v>
      </c>
      <c r="V92" s="106" t="s">
        <v>247</v>
      </c>
      <c r="W92" s="105" t="s">
        <v>248</v>
      </c>
      <c r="X92" s="138" t="s">
        <v>298</v>
      </c>
      <c r="AD92" s="15">
        <v>37200</v>
      </c>
      <c r="AF92" s="160">
        <f t="shared" si="26"/>
        <v>5</v>
      </c>
      <c r="AG92" s="160">
        <f t="shared" si="27"/>
        <v>11</v>
      </c>
      <c r="AH92" s="110">
        <v>14</v>
      </c>
      <c r="AJ92" s="2" t="s">
        <v>323</v>
      </c>
      <c r="AK92" s="2" t="s">
        <v>324</v>
      </c>
      <c r="AL92" s="2" t="s">
        <v>325</v>
      </c>
      <c r="AM92" s="2" t="s">
        <v>326</v>
      </c>
      <c r="AN92" s="2" t="s">
        <v>257</v>
      </c>
      <c r="AO92" s="2" t="s">
        <v>253</v>
      </c>
      <c r="AR92" s="176">
        <v>3121021808</v>
      </c>
      <c r="AU92" s="2" t="s">
        <v>266</v>
      </c>
    </row>
    <row r="93" spans="1:50" x14ac:dyDescent="0.2">
      <c r="A93" s="173"/>
      <c r="B93" s="139">
        <v>42160</v>
      </c>
      <c r="C93" s="176">
        <f t="shared" si="20"/>
        <v>5</v>
      </c>
      <c r="D93" s="176">
        <f t="shared" si="21"/>
        <v>6</v>
      </c>
      <c r="E93" s="16" t="str">
        <f>+LOOKUP(D93,'Factor Integración'!$L$4:$L$15,'Factor Integración'!$M$4:$M$15)</f>
        <v>Junio</v>
      </c>
      <c r="F93" s="176">
        <f t="shared" si="22"/>
        <v>2015</v>
      </c>
      <c r="G93" s="114" t="s">
        <v>178</v>
      </c>
      <c r="H93" s="182">
        <f>+IF(Q93&gt;0,(LOOKUP(Q93,Tabulador!C$34:C$93,Tabulador!D$34:D$93)/7),0)</f>
        <v>142.80320000000003</v>
      </c>
      <c r="I93" s="40">
        <f t="shared" ca="1" si="23"/>
        <v>42526</v>
      </c>
      <c r="J93" s="42">
        <f t="shared" ca="1" si="24"/>
        <v>1</v>
      </c>
      <c r="K93" s="38">
        <f ca="1">+IF(J93&gt;0,(LOOKUP(J93,'Factor Integración'!C$5:C$44,'Factor Integración'!G$5:G$44)),'Factor Integración'!$G$5)</f>
        <v>1.0452054794520547</v>
      </c>
      <c r="L93" s="125">
        <f>+IF(Q93&lt;&gt;0,LOOKUP(Q93,Tabulador!C$33:C$93,Tabulador!D$33:D$93),0)</f>
        <v>999.6224000000002</v>
      </c>
      <c r="M93" s="127" t="str">
        <f>+IF(L93&gt;0,(LOOKUP(L93,Tabulador!E$33:E$93,Tabulador!F$33:F$93)),0)</f>
        <v>(NOVECIENTOS CINCUENTA  PESOS  00/100 M.N.)</v>
      </c>
      <c r="N93" s="17">
        <f t="shared" ca="1" si="25"/>
        <v>149.2586871232877</v>
      </c>
      <c r="O93" s="59" t="s">
        <v>27</v>
      </c>
      <c r="P93" s="50" t="s">
        <v>207</v>
      </c>
      <c r="Q93" s="161">
        <v>5.3</v>
      </c>
      <c r="R93" s="143" t="s">
        <v>149</v>
      </c>
      <c r="S93" s="93" t="s">
        <v>879</v>
      </c>
      <c r="T93" s="130" t="s">
        <v>211</v>
      </c>
      <c r="U93" s="130" t="s">
        <v>225</v>
      </c>
      <c r="V93" s="106" t="s">
        <v>247</v>
      </c>
      <c r="W93" s="105" t="s">
        <v>248</v>
      </c>
      <c r="X93" s="138" t="s">
        <v>250</v>
      </c>
      <c r="Y93" s="180">
        <v>26149427184</v>
      </c>
      <c r="Z93" s="2" t="s">
        <v>350</v>
      </c>
      <c r="AA93" s="2" t="s">
        <v>351</v>
      </c>
      <c r="AB93" s="2" t="s">
        <v>253</v>
      </c>
      <c r="AD93" s="15">
        <v>34450</v>
      </c>
      <c r="AF93" s="160">
        <f t="shared" si="26"/>
        <v>26</v>
      </c>
      <c r="AG93" s="160">
        <f t="shared" si="27"/>
        <v>4</v>
      </c>
      <c r="AH93" s="110">
        <v>21</v>
      </c>
      <c r="AJ93" s="2" t="s">
        <v>352</v>
      </c>
      <c r="AK93" s="2" t="s">
        <v>353</v>
      </c>
      <c r="AL93" s="2" t="s">
        <v>354</v>
      </c>
      <c r="AM93" s="2" t="s">
        <v>355</v>
      </c>
      <c r="AN93" s="2" t="s">
        <v>257</v>
      </c>
      <c r="AO93" s="2" t="s">
        <v>253</v>
      </c>
      <c r="AP93" s="180">
        <v>28936</v>
      </c>
      <c r="AR93" s="176">
        <v>3131115721</v>
      </c>
      <c r="AU93" s="2" t="s">
        <v>356</v>
      </c>
      <c r="AV93" s="2" t="s">
        <v>357</v>
      </c>
    </row>
    <row r="94" spans="1:50" x14ac:dyDescent="0.2">
      <c r="A94" s="163"/>
      <c r="B94" s="139"/>
      <c r="C94" s="176">
        <f t="shared" ref="C94:C124" si="28">+DAY(B94)</f>
        <v>0</v>
      </c>
      <c r="D94" s="176">
        <f t="shared" ref="D94:D124" si="29">+MONTH(B94)</f>
        <v>1</v>
      </c>
      <c r="E94" s="16" t="str">
        <f>+LOOKUP(D94,'Factor Integración'!$L$4:$L$15,'Factor Integración'!$M$4:$M$15)</f>
        <v>Enero</v>
      </c>
      <c r="F94" s="176">
        <f t="shared" ref="F94:F124" si="30">+YEAR(B94)</f>
        <v>1900</v>
      </c>
      <c r="G94" s="114" t="s">
        <v>179</v>
      </c>
      <c r="H94" s="182">
        <f>+IF(Q94&gt;0,(LOOKUP(Q94,Tabulador!C$34:C$93,Tabulador!D$34:D$93)/7),0)</f>
        <v>142.80320000000003</v>
      </c>
      <c r="I94" s="40" t="str">
        <f t="shared" ca="1" si="23"/>
        <v/>
      </c>
      <c r="J94" s="42">
        <f t="shared" ca="1" si="24"/>
        <v>0</v>
      </c>
      <c r="K94" s="38">
        <f ca="1">+IF(J94&gt;0,(LOOKUP(J94,'Factor Integración'!C$5:C$44,'Factor Integración'!G$5:G$44)),'Factor Integración'!$G$5)</f>
        <v>1.0452054794520547</v>
      </c>
      <c r="L94" s="125">
        <f>+IF(Q94&lt;&gt;0,LOOKUP(Q94,Tabulador!C$33:C$93,Tabulador!D$33:D$93),0)</f>
        <v>999.6224000000002</v>
      </c>
      <c r="M94" s="127" t="str">
        <f>+IF(L94&gt;0,(LOOKUP(L94,Tabulador!E$33:E$93,Tabulador!F$33:F$93)),0)</f>
        <v>(NOVECIENTOS CINCUENTA  PESOS  00/100 M.N.)</v>
      </c>
      <c r="N94" s="17">
        <f t="shared" ca="1" si="25"/>
        <v>149.2586871232877</v>
      </c>
      <c r="O94" s="59" t="s">
        <v>27</v>
      </c>
      <c r="P94" s="50" t="s">
        <v>207</v>
      </c>
      <c r="Q94" s="161">
        <v>5.3</v>
      </c>
      <c r="R94" s="143" t="s">
        <v>149</v>
      </c>
      <c r="S94" s="93" t="s">
        <v>879</v>
      </c>
      <c r="T94" s="130" t="s">
        <v>211</v>
      </c>
      <c r="U94" s="130" t="s">
        <v>225</v>
      </c>
      <c r="V94" s="106" t="s">
        <v>247</v>
      </c>
      <c r="W94" s="105" t="s">
        <v>248</v>
      </c>
      <c r="X94" s="138" t="s">
        <v>298</v>
      </c>
      <c r="AD94" s="15">
        <v>31687</v>
      </c>
      <c r="AF94" s="160">
        <f t="shared" si="26"/>
        <v>2</v>
      </c>
      <c r="AG94" s="160">
        <f t="shared" si="27"/>
        <v>10</v>
      </c>
      <c r="AH94" s="110">
        <v>29</v>
      </c>
      <c r="AJ94" s="2" t="s">
        <v>369</v>
      </c>
      <c r="AK94" s="2" t="s">
        <v>370</v>
      </c>
      <c r="AL94" s="2" t="s">
        <v>371</v>
      </c>
      <c r="AM94" s="2" t="s">
        <v>348</v>
      </c>
      <c r="AN94" s="2" t="s">
        <v>257</v>
      </c>
      <c r="AO94" s="2" t="s">
        <v>253</v>
      </c>
      <c r="AP94" s="180">
        <v>28140</v>
      </c>
    </row>
    <row r="95" spans="1:50" x14ac:dyDescent="0.2">
      <c r="A95" s="163"/>
      <c r="B95" s="139">
        <v>42241</v>
      </c>
      <c r="C95" s="176">
        <f t="shared" si="28"/>
        <v>25</v>
      </c>
      <c r="D95" s="176">
        <f t="shared" si="29"/>
        <v>8</v>
      </c>
      <c r="E95" s="16" t="str">
        <f>+LOOKUP(D95,'Factor Integración'!$L$4:$L$15,'Factor Integración'!$M$4:$M$15)</f>
        <v>Agosto</v>
      </c>
      <c r="F95" s="176">
        <f t="shared" si="30"/>
        <v>2015</v>
      </c>
      <c r="G95" s="114" t="s">
        <v>180</v>
      </c>
      <c r="H95" s="182">
        <f>+IF(Q95&gt;0,(LOOKUP(Q95,Tabulador!C$34:C$93,Tabulador!D$34:D$93)/7),0)</f>
        <v>142.80320000000003</v>
      </c>
      <c r="I95" s="40">
        <f t="shared" ca="1" si="23"/>
        <v>42241</v>
      </c>
      <c r="J95" s="42">
        <f t="shared" ca="1" si="24"/>
        <v>0</v>
      </c>
      <c r="K95" s="38">
        <f ca="1">+IF(J95&gt;0,(LOOKUP(J95,'Factor Integración'!C$5:C$44,'Factor Integración'!G$5:G$44)),'Factor Integración'!$G$5)</f>
        <v>1.0452054794520547</v>
      </c>
      <c r="L95" s="125">
        <f>+IF(Q95&lt;&gt;0,LOOKUP(Q95,Tabulador!C$33:C$93,Tabulador!D$33:D$93),0)</f>
        <v>999.6224000000002</v>
      </c>
      <c r="M95" s="127" t="str">
        <f>+IF(L95&gt;0,(LOOKUP(L95,Tabulador!E$33:E$93,Tabulador!F$33:F$93)),0)</f>
        <v>(NOVECIENTOS CINCUENTA  PESOS  00/100 M.N.)</v>
      </c>
      <c r="N95" s="17">
        <f t="shared" ca="1" si="25"/>
        <v>149.2586871232877</v>
      </c>
      <c r="O95" s="59" t="s">
        <v>27</v>
      </c>
      <c r="P95" s="50" t="s">
        <v>207</v>
      </c>
      <c r="Q95" s="161">
        <v>5.3</v>
      </c>
      <c r="R95" s="143" t="s">
        <v>149</v>
      </c>
      <c r="S95" s="93" t="s">
        <v>879</v>
      </c>
      <c r="T95" s="130" t="s">
        <v>221</v>
      </c>
      <c r="U95" s="130" t="s">
        <v>390</v>
      </c>
      <c r="V95" s="106" t="s">
        <v>247</v>
      </c>
      <c r="W95" s="105" t="s">
        <v>248</v>
      </c>
      <c r="X95" s="138" t="s">
        <v>298</v>
      </c>
      <c r="Z95" s="2" t="s">
        <v>397</v>
      </c>
      <c r="AA95" s="2" t="s">
        <v>397</v>
      </c>
      <c r="AB95" s="2" t="s">
        <v>253</v>
      </c>
      <c r="AD95" s="15">
        <v>35658</v>
      </c>
      <c r="AF95" s="160">
        <f t="shared" si="26"/>
        <v>16</v>
      </c>
      <c r="AG95" s="160">
        <f t="shared" si="27"/>
        <v>8</v>
      </c>
      <c r="AH95" s="110">
        <v>18</v>
      </c>
      <c r="AJ95" s="2" t="s">
        <v>398</v>
      </c>
      <c r="AK95" s="2" t="s">
        <v>399</v>
      </c>
      <c r="AL95" s="2" t="s">
        <v>400</v>
      </c>
      <c r="AM95" s="2" t="s">
        <v>311</v>
      </c>
      <c r="AN95" s="2" t="s">
        <v>257</v>
      </c>
      <c r="AO95" s="2" t="s">
        <v>253</v>
      </c>
      <c r="AP95" s="180">
        <v>28100</v>
      </c>
      <c r="AR95" s="176">
        <v>3131111194</v>
      </c>
      <c r="AU95" s="2" t="s">
        <v>266</v>
      </c>
    </row>
    <row r="96" spans="1:50" x14ac:dyDescent="0.2">
      <c r="A96" s="173"/>
      <c r="B96" s="139">
        <v>42305</v>
      </c>
      <c r="C96" s="176">
        <f t="shared" si="28"/>
        <v>28</v>
      </c>
      <c r="D96" s="176">
        <f t="shared" si="29"/>
        <v>10</v>
      </c>
      <c r="E96" s="16" t="str">
        <f>+LOOKUP(D96,'Factor Integración'!$L$4:$L$15,'Factor Integración'!$M$4:$M$15)</f>
        <v>Octubre</v>
      </c>
      <c r="F96" s="176">
        <f t="shared" si="30"/>
        <v>2015</v>
      </c>
      <c r="G96" s="114" t="s">
        <v>181</v>
      </c>
      <c r="H96" s="182">
        <f>+IF(Q96&gt;0,(LOOKUP(Q96,Tabulador!C$34:C$93,Tabulador!D$34:D$93)/7),0)</f>
        <v>128.57142857142858</v>
      </c>
      <c r="I96" s="40">
        <f t="shared" ca="1" si="23"/>
        <v>42305</v>
      </c>
      <c r="J96" s="42">
        <f t="shared" ca="1" si="24"/>
        <v>0</v>
      </c>
      <c r="K96" s="38">
        <f ca="1">+IF(J96&gt;0,(LOOKUP(J96,'Factor Integración'!C$5:C$44,'Factor Integración'!G$5:G$44)),'Factor Integración'!$G$5)</f>
        <v>1.0452054794520547</v>
      </c>
      <c r="L96" s="125">
        <f>+IF(Q96&lt;&gt;0,LOOKUP(Q96,Tabulador!C$33:C$93,Tabulador!D$33:D$93),0)</f>
        <v>900</v>
      </c>
      <c r="M96" s="127" t="str">
        <f>+IF(L96&gt;0,(LOOKUP(L96,Tabulador!E$33:E$93,Tabulador!F$33:F$93)),0)</f>
        <v>(NOVECIENTOS  PESOS  00/100 M.N.)</v>
      </c>
      <c r="N96" s="17">
        <f t="shared" ca="1" si="25"/>
        <v>134.38356164383561</v>
      </c>
      <c r="O96" s="59" t="s">
        <v>27</v>
      </c>
      <c r="P96" s="50" t="s">
        <v>207</v>
      </c>
      <c r="Q96" s="161">
        <v>5.0999999999999996</v>
      </c>
      <c r="R96" s="143" t="s">
        <v>149</v>
      </c>
      <c r="S96" s="93" t="s">
        <v>879</v>
      </c>
      <c r="T96" s="142" t="s">
        <v>223</v>
      </c>
      <c r="U96" s="130" t="s">
        <v>228</v>
      </c>
      <c r="V96" s="106" t="s">
        <v>247</v>
      </c>
      <c r="W96" s="105" t="s">
        <v>248</v>
      </c>
      <c r="X96" s="138" t="s">
        <v>298</v>
      </c>
      <c r="Y96" s="180">
        <v>52109507773</v>
      </c>
      <c r="Z96" s="2" t="s">
        <v>410</v>
      </c>
      <c r="AA96" s="2" t="s">
        <v>411</v>
      </c>
      <c r="AB96" s="2" t="s">
        <v>253</v>
      </c>
      <c r="AD96" s="15">
        <v>34919</v>
      </c>
      <c r="AF96" s="160">
        <f t="shared" si="26"/>
        <v>8</v>
      </c>
      <c r="AG96" s="160">
        <f t="shared" si="27"/>
        <v>8</v>
      </c>
      <c r="AH96" s="110">
        <v>20</v>
      </c>
      <c r="AJ96" s="2" t="s">
        <v>412</v>
      </c>
      <c r="AK96" s="2" t="s">
        <v>413</v>
      </c>
      <c r="AL96" s="2" t="s">
        <v>414</v>
      </c>
      <c r="AM96" s="2" t="s">
        <v>381</v>
      </c>
      <c r="AN96" s="2" t="s">
        <v>257</v>
      </c>
      <c r="AO96" s="2" t="s">
        <v>253</v>
      </c>
      <c r="AP96" s="180">
        <v>28140</v>
      </c>
      <c r="AQ96" s="162">
        <v>3258562</v>
      </c>
      <c r="AR96" s="176">
        <v>3131212328</v>
      </c>
      <c r="AU96" s="2" t="s">
        <v>266</v>
      </c>
      <c r="AW96" s="1" t="s">
        <v>415</v>
      </c>
    </row>
    <row r="97" spans="1:49" x14ac:dyDescent="0.2">
      <c r="B97" s="15">
        <v>41253</v>
      </c>
      <c r="C97" s="176">
        <f t="shared" si="28"/>
        <v>10</v>
      </c>
      <c r="D97" s="176">
        <f t="shared" si="29"/>
        <v>12</v>
      </c>
      <c r="E97" s="16" t="str">
        <f>+LOOKUP(D97,'Factor Integración'!$L$4:$L$15,'Factor Integración'!$M$4:$M$15)</f>
        <v>Diciembre</v>
      </c>
      <c r="F97" s="176">
        <f t="shared" si="30"/>
        <v>2012</v>
      </c>
      <c r="G97" s="114" t="s">
        <v>182</v>
      </c>
      <c r="H97" s="182">
        <f>+IF(Q97&gt;0,(LOOKUP(Q97,Tabulador!C$34:C$93,Tabulador!D$34:D$93)/7),0)</f>
        <v>171.42857142857142</v>
      </c>
      <c r="I97" s="40">
        <f t="shared" ca="1" si="23"/>
        <v>42348</v>
      </c>
      <c r="J97" s="42">
        <f t="shared" ca="1" si="24"/>
        <v>3</v>
      </c>
      <c r="K97" s="38">
        <f ca="1">+IF(J97&gt;0,(LOOKUP(J97,'Factor Integración'!C$5:C$44,'Factor Integración'!G$5:G$44)),'Factor Integración'!$G$5)</f>
        <v>1.047945205479452</v>
      </c>
      <c r="L97" s="125">
        <f>+IF(Q97&lt;&gt;0,LOOKUP(Q97,Tabulador!C$33:C$93,Tabulador!D$33:D$93),0)</f>
        <v>1200</v>
      </c>
      <c r="M97" s="127" t="str">
        <f>+IF(L97&gt;0,(LOOKUP(L97,Tabulador!E$33:E$93,Tabulador!F$33:F$93)),0)</f>
        <v>(UN MIL DOSCIENTOS  PESOS  00/100 M.N.)</v>
      </c>
      <c r="N97" s="17">
        <f t="shared" ca="1" si="25"/>
        <v>179.64774951076319</v>
      </c>
      <c r="O97" s="59" t="s">
        <v>27</v>
      </c>
      <c r="P97" s="50" t="s">
        <v>207</v>
      </c>
      <c r="Q97" s="161">
        <v>6.1</v>
      </c>
      <c r="R97" s="143" t="s">
        <v>149</v>
      </c>
      <c r="S97" s="93" t="s">
        <v>879</v>
      </c>
      <c r="T97" s="130" t="s">
        <v>223</v>
      </c>
      <c r="U97" s="130" t="s">
        <v>228</v>
      </c>
      <c r="V97" s="106" t="s">
        <v>247</v>
      </c>
      <c r="W97" s="105" t="s">
        <v>248</v>
      </c>
      <c r="X97" s="138" t="s">
        <v>298</v>
      </c>
      <c r="AF97" s="160">
        <f t="shared" si="26"/>
        <v>0</v>
      </c>
      <c r="AG97" s="160">
        <f t="shared" si="27"/>
        <v>1</v>
      </c>
    </row>
    <row r="98" spans="1:49" x14ac:dyDescent="0.2">
      <c r="A98" s="163"/>
      <c r="B98" s="139">
        <v>42269</v>
      </c>
      <c r="C98" s="176">
        <f t="shared" si="28"/>
        <v>22</v>
      </c>
      <c r="D98" s="176">
        <f t="shared" si="29"/>
        <v>9</v>
      </c>
      <c r="E98" s="16" t="str">
        <f>+LOOKUP(D98,'Factor Integración'!$L$4:$L$15,'Factor Integración'!$M$4:$M$15)</f>
        <v>Septiembre</v>
      </c>
      <c r="F98" s="176">
        <f t="shared" si="30"/>
        <v>2015</v>
      </c>
      <c r="G98" s="114" t="s">
        <v>183</v>
      </c>
      <c r="H98" s="182">
        <f>+IF(Q98&gt;0,(LOOKUP(Q98,Tabulador!C$34:C$93,Tabulador!D$34:D$93)/7),0)</f>
        <v>128.57142857142858</v>
      </c>
      <c r="I98" s="40">
        <f t="shared" ca="1" si="23"/>
        <v>42269</v>
      </c>
      <c r="J98" s="42">
        <f t="shared" ca="1" si="24"/>
        <v>0</v>
      </c>
      <c r="K98" s="38">
        <f ca="1">+IF(J98&gt;0,(LOOKUP(J98,'Factor Integración'!C$5:C$44,'Factor Integración'!G$5:G$44)),'Factor Integración'!$G$5)</f>
        <v>1.0452054794520547</v>
      </c>
      <c r="L98" s="125">
        <f>+IF(Q98&lt;&gt;0,LOOKUP(Q98,Tabulador!C$33:C$93,Tabulador!D$33:D$93),0)</f>
        <v>900</v>
      </c>
      <c r="M98" s="127" t="str">
        <f>+IF(L98&gt;0,(LOOKUP(L98,Tabulador!E$33:E$93,Tabulador!F$33:F$93)),0)</f>
        <v>(NOVECIENTOS  PESOS  00/100 M.N.)</v>
      </c>
      <c r="N98" s="17">
        <f t="shared" ca="1" si="25"/>
        <v>134.38356164383561</v>
      </c>
      <c r="O98" s="59" t="s">
        <v>27</v>
      </c>
      <c r="P98" s="50" t="s">
        <v>207</v>
      </c>
      <c r="Q98" s="161">
        <v>5.0999999999999996</v>
      </c>
      <c r="R98" s="143" t="s">
        <v>149</v>
      </c>
      <c r="S98" s="93" t="s">
        <v>879</v>
      </c>
      <c r="T98" s="130" t="s">
        <v>223</v>
      </c>
      <c r="U98" s="130" t="s">
        <v>228</v>
      </c>
      <c r="V98" s="106" t="s">
        <v>247</v>
      </c>
      <c r="W98" s="105" t="s">
        <v>248</v>
      </c>
      <c r="X98" s="138" t="s">
        <v>298</v>
      </c>
      <c r="Z98" s="2" t="s">
        <v>416</v>
      </c>
      <c r="AA98" s="2" t="s">
        <v>417</v>
      </c>
      <c r="AB98" s="2" t="s">
        <v>253</v>
      </c>
      <c r="AD98" s="15">
        <v>37215</v>
      </c>
      <c r="AF98" s="160">
        <f t="shared" si="26"/>
        <v>20</v>
      </c>
      <c r="AG98" s="160">
        <f t="shared" si="27"/>
        <v>11</v>
      </c>
      <c r="AH98" s="110">
        <v>14</v>
      </c>
      <c r="AJ98" s="2" t="s">
        <v>418</v>
      </c>
      <c r="AK98" s="2" t="s">
        <v>419</v>
      </c>
      <c r="AL98" s="2" t="s">
        <v>420</v>
      </c>
      <c r="AM98" s="2" t="s">
        <v>421</v>
      </c>
      <c r="AN98" s="2" t="s">
        <v>285</v>
      </c>
      <c r="AO98" s="2" t="s">
        <v>253</v>
      </c>
      <c r="AR98" s="176">
        <v>3131229191</v>
      </c>
      <c r="AU98" s="2" t="s">
        <v>266</v>
      </c>
    </row>
    <row r="99" spans="1:49" x14ac:dyDescent="0.2">
      <c r="A99" s="163"/>
      <c r="B99" s="145">
        <v>41935</v>
      </c>
      <c r="C99" s="176">
        <f t="shared" si="28"/>
        <v>23</v>
      </c>
      <c r="D99" s="176">
        <f t="shared" si="29"/>
        <v>10</v>
      </c>
      <c r="E99" s="16" t="str">
        <f>+LOOKUP(D99,'Factor Integración'!$L$4:$L$15,'Factor Integración'!$M$4:$M$15)</f>
        <v>Octubre</v>
      </c>
      <c r="F99" s="176">
        <f t="shared" si="30"/>
        <v>2014</v>
      </c>
      <c r="G99" s="119" t="s">
        <v>184</v>
      </c>
      <c r="H99" s="182">
        <f>+IF(Q99&gt;0,(LOOKUP(Q99,Tabulador!C$34:C$93,Tabulador!D$34:D$93)/7),0)</f>
        <v>128.57142857142858</v>
      </c>
      <c r="I99" s="40">
        <f t="shared" ca="1" si="23"/>
        <v>42300</v>
      </c>
      <c r="J99" s="42">
        <f t="shared" ca="1" si="24"/>
        <v>1</v>
      </c>
      <c r="K99" s="38">
        <f ca="1">+IF(J99&gt;0,(LOOKUP(J99,'Factor Integración'!C$5:C$44,'Factor Integración'!G$5:G$44)),'Factor Integración'!$G$5)</f>
        <v>1.0452054794520547</v>
      </c>
      <c r="L99" s="125">
        <f>+IF(Q99&lt;&gt;0,LOOKUP(Q99,Tabulador!C$33:C$93,Tabulador!D$33:D$93),0)</f>
        <v>900</v>
      </c>
      <c r="M99" s="127" t="str">
        <f>+IF(L99&gt;0,(LOOKUP(L99,Tabulador!E$33:E$93,Tabulador!F$33:F$93)),0)</f>
        <v>(NOVECIENTOS  PESOS  00/100 M.N.)</v>
      </c>
      <c r="N99" s="17">
        <f t="shared" ca="1" si="25"/>
        <v>134.38356164383561</v>
      </c>
      <c r="O99" s="59" t="s">
        <v>27</v>
      </c>
      <c r="P99" s="50" t="s">
        <v>207</v>
      </c>
      <c r="Q99" s="161">
        <v>5.0999999999999996</v>
      </c>
      <c r="R99" s="143" t="s">
        <v>149</v>
      </c>
      <c r="S99" s="93" t="s">
        <v>879</v>
      </c>
      <c r="T99" s="130" t="s">
        <v>223</v>
      </c>
      <c r="U99" s="130" t="s">
        <v>228</v>
      </c>
      <c r="V99" s="106" t="s">
        <v>247</v>
      </c>
      <c r="W99" s="105" t="s">
        <v>248</v>
      </c>
      <c r="X99" s="138" t="s">
        <v>298</v>
      </c>
      <c r="Z99" s="2" t="s">
        <v>422</v>
      </c>
      <c r="AA99" s="2" t="s">
        <v>423</v>
      </c>
      <c r="AB99" s="2" t="s">
        <v>253</v>
      </c>
      <c r="AD99" s="15">
        <v>35834</v>
      </c>
      <c r="AF99" s="160">
        <f t="shared" si="26"/>
        <v>8</v>
      </c>
      <c r="AG99" s="160">
        <f t="shared" si="27"/>
        <v>2</v>
      </c>
      <c r="AH99" s="110">
        <v>17</v>
      </c>
      <c r="AK99" s="2" t="s">
        <v>424</v>
      </c>
      <c r="AL99" s="2" t="s">
        <v>425</v>
      </c>
      <c r="AM99" s="2" t="s">
        <v>426</v>
      </c>
      <c r="AN99" s="2" t="s">
        <v>257</v>
      </c>
      <c r="AO99" s="2" t="s">
        <v>253</v>
      </c>
      <c r="AU99" s="2" t="s">
        <v>266</v>
      </c>
    </row>
    <row r="100" spans="1:49" x14ac:dyDescent="0.2">
      <c r="A100" s="173"/>
      <c r="B100" s="139">
        <v>40245</v>
      </c>
      <c r="C100" s="176">
        <f t="shared" si="28"/>
        <v>8</v>
      </c>
      <c r="D100" s="176">
        <f t="shared" si="29"/>
        <v>3</v>
      </c>
      <c r="E100" s="16" t="str">
        <f>+LOOKUP(D100,'Factor Integración'!$L$4:$L$15,'Factor Integración'!$M$4:$M$15)</f>
        <v>Marzo</v>
      </c>
      <c r="F100" s="176">
        <f t="shared" si="30"/>
        <v>2010</v>
      </c>
      <c r="G100" s="116" t="s">
        <v>185</v>
      </c>
      <c r="H100" s="182">
        <f>+IF(Q100&gt;0,(LOOKUP(Q100,Tabulador!C$34:C$93,Tabulador!D$34:D$93)/7),0)</f>
        <v>85.714285714285708</v>
      </c>
      <c r="I100" s="40">
        <f t="shared" ca="1" si="23"/>
        <v>42437</v>
      </c>
      <c r="J100" s="42">
        <f t="shared" ca="1" si="24"/>
        <v>6</v>
      </c>
      <c r="K100" s="38">
        <f ca="1">+IF(J100&gt;0,(LOOKUP(J100,'Factor Integración'!C$5:C$44,'Factor Integración'!G$5:G$44)),'Factor Integración'!$G$5)</f>
        <v>1.0506849315068492</v>
      </c>
      <c r="L100" s="125">
        <f>+IF(Q100&lt;&gt;0,LOOKUP(Q100,Tabulador!C$33:C$93,Tabulador!D$33:D$93),0)</f>
        <v>600</v>
      </c>
      <c r="M100" s="127" t="str">
        <f>+IF(L100&gt;0,(LOOKUP(L100,Tabulador!E$33:E$93,Tabulador!F$33:F$93)),0)</f>
        <v>(SEISCIENTOS  PESOS  00/100 M.N.)</v>
      </c>
      <c r="N100" s="17">
        <f t="shared" ca="1" si="25"/>
        <v>90.058708414872783</v>
      </c>
      <c r="O100" s="59" t="s">
        <v>27</v>
      </c>
      <c r="P100" s="50" t="s">
        <v>207</v>
      </c>
      <c r="Q100" s="161">
        <v>4.0999999999999996</v>
      </c>
      <c r="R100" s="143" t="s">
        <v>149</v>
      </c>
      <c r="S100" s="93" t="s">
        <v>879</v>
      </c>
      <c r="T100" s="132" t="s">
        <v>223</v>
      </c>
      <c r="U100" s="132" t="s">
        <v>228</v>
      </c>
      <c r="V100" s="106" t="s">
        <v>247</v>
      </c>
      <c r="W100" s="105" t="s">
        <v>248</v>
      </c>
      <c r="X100" s="138" t="s">
        <v>298</v>
      </c>
      <c r="Z100" s="2" t="s">
        <v>427</v>
      </c>
      <c r="AA100" s="2" t="s">
        <v>428</v>
      </c>
      <c r="AB100" s="2" t="s">
        <v>253</v>
      </c>
      <c r="AD100" s="15">
        <v>33891</v>
      </c>
      <c r="AF100" s="160">
        <f t="shared" si="26"/>
        <v>14</v>
      </c>
      <c r="AG100" s="160">
        <f t="shared" si="27"/>
        <v>10</v>
      </c>
      <c r="AH100" s="110">
        <v>23</v>
      </c>
      <c r="AJ100" s="2" t="s">
        <v>429</v>
      </c>
      <c r="AK100" s="2" t="s">
        <v>430</v>
      </c>
      <c r="AL100" s="2" t="s">
        <v>431</v>
      </c>
      <c r="AM100" s="2" t="s">
        <v>432</v>
      </c>
      <c r="AN100" s="2" t="s">
        <v>257</v>
      </c>
      <c r="AO100" s="2" t="s">
        <v>253</v>
      </c>
      <c r="AP100" s="180">
        <v>28120</v>
      </c>
      <c r="AR100" s="176">
        <v>3131185011</v>
      </c>
      <c r="AU100" s="2" t="s">
        <v>266</v>
      </c>
    </row>
    <row r="101" spans="1:49" x14ac:dyDescent="0.2">
      <c r="A101" s="173"/>
      <c r="B101" s="139">
        <v>41134</v>
      </c>
      <c r="C101" s="176">
        <f t="shared" si="28"/>
        <v>13</v>
      </c>
      <c r="D101" s="176">
        <f t="shared" si="29"/>
        <v>8</v>
      </c>
      <c r="E101" s="16" t="str">
        <f>+LOOKUP(D101,'Factor Integración'!$L$4:$L$15,'Factor Integración'!$M$4:$M$15)</f>
        <v>Agosto</v>
      </c>
      <c r="F101" s="176">
        <f t="shared" si="30"/>
        <v>2012</v>
      </c>
      <c r="G101" s="114" t="s">
        <v>186</v>
      </c>
      <c r="H101" s="182">
        <f>+IF(Q101&gt;0,(LOOKUP(Q101,Tabulador!C$34:C$93,Tabulador!D$34:D$93)/7),0)</f>
        <v>128.57142857142858</v>
      </c>
      <c r="I101" s="40">
        <f t="shared" ca="1" si="23"/>
        <v>42229</v>
      </c>
      <c r="J101" s="42">
        <f t="shared" ca="1" si="24"/>
        <v>3</v>
      </c>
      <c r="K101" s="38">
        <f ca="1">+IF(J101&gt;0,(LOOKUP(J101,'Factor Integración'!C$5:C$44,'Factor Integración'!G$5:G$44)),'Factor Integración'!$G$5)</f>
        <v>1.047945205479452</v>
      </c>
      <c r="L101" s="125">
        <f>+IF(Q101&lt;&gt;0,LOOKUP(Q101,Tabulador!C$33:C$93,Tabulador!D$33:D$93),0)</f>
        <v>900</v>
      </c>
      <c r="M101" s="127" t="str">
        <f>+IF(L101&gt;0,(LOOKUP(L101,Tabulador!E$33:E$93,Tabulador!F$33:F$93)),0)</f>
        <v>(NOVECIENTOS  PESOS  00/100 M.N.)</v>
      </c>
      <c r="N101" s="17">
        <f t="shared" ca="1" si="25"/>
        <v>134.73581213307241</v>
      </c>
      <c r="O101" s="59" t="s">
        <v>27</v>
      </c>
      <c r="P101" s="50" t="s">
        <v>207</v>
      </c>
      <c r="Q101" s="161">
        <v>5.0999999999999996</v>
      </c>
      <c r="R101" s="143" t="s">
        <v>149</v>
      </c>
      <c r="S101" s="93" t="s">
        <v>879</v>
      </c>
      <c r="T101" s="130" t="s">
        <v>223</v>
      </c>
      <c r="U101" s="130" t="s">
        <v>228</v>
      </c>
      <c r="V101" s="106" t="s">
        <v>247</v>
      </c>
      <c r="W101" s="105" t="s">
        <v>248</v>
      </c>
      <c r="X101" s="138" t="s">
        <v>298</v>
      </c>
      <c r="Z101" s="2" t="s">
        <v>438</v>
      </c>
      <c r="AA101" s="2" t="s">
        <v>439</v>
      </c>
      <c r="AB101" s="2" t="s">
        <v>253</v>
      </c>
      <c r="AD101" s="15">
        <v>35684</v>
      </c>
      <c r="AF101" s="160">
        <f t="shared" si="26"/>
        <v>11</v>
      </c>
      <c r="AG101" s="160">
        <f t="shared" si="27"/>
        <v>9</v>
      </c>
      <c r="AH101" s="110">
        <v>18</v>
      </c>
      <c r="AJ101" s="2" t="s">
        <v>440</v>
      </c>
      <c r="AK101" s="2" t="s">
        <v>441</v>
      </c>
      <c r="AL101" s="2" t="s">
        <v>442</v>
      </c>
      <c r="AM101" s="2" t="s">
        <v>443</v>
      </c>
      <c r="AN101" s="2" t="s">
        <v>257</v>
      </c>
      <c r="AO101" s="2" t="s">
        <v>253</v>
      </c>
      <c r="AP101" s="180">
        <v>28140</v>
      </c>
      <c r="AQ101" s="162">
        <v>3253671</v>
      </c>
      <c r="AR101" s="176">
        <v>3131150191</v>
      </c>
      <c r="AU101" s="2" t="s">
        <v>266</v>
      </c>
    </row>
    <row r="102" spans="1:49" x14ac:dyDescent="0.2">
      <c r="A102" s="173"/>
      <c r="B102" s="139">
        <v>42161</v>
      </c>
      <c r="C102" s="176">
        <f t="shared" si="28"/>
        <v>6</v>
      </c>
      <c r="D102" s="176">
        <f t="shared" si="29"/>
        <v>6</v>
      </c>
      <c r="E102" s="16" t="str">
        <f>+LOOKUP(D102,'Factor Integración'!$L$4:$L$15,'Factor Integración'!$M$4:$M$15)</f>
        <v>Junio</v>
      </c>
      <c r="F102" s="176">
        <f t="shared" si="30"/>
        <v>2015</v>
      </c>
      <c r="G102" s="117" t="s">
        <v>937</v>
      </c>
      <c r="H102" s="182">
        <f>+IF(Q102&gt;0,(LOOKUP(Q102,Tabulador!C$34:C$93,Tabulador!D$34:D$93)/7),0)</f>
        <v>142.80320000000003</v>
      </c>
      <c r="I102" s="40">
        <f t="shared" ca="1" si="23"/>
        <v>42527</v>
      </c>
      <c r="J102" s="42">
        <f t="shared" ca="1" si="24"/>
        <v>1</v>
      </c>
      <c r="K102" s="38">
        <f ca="1">+IF(J102&gt;0,(LOOKUP(J102,'Factor Integración'!C$5:C$44,'Factor Integración'!G$5:G$44)),'Factor Integración'!$G$5)</f>
        <v>1.0452054794520547</v>
      </c>
      <c r="L102" s="125">
        <f>+IF(Q102&lt;&gt;0,LOOKUP(Q102,Tabulador!C$33:C$93,Tabulador!D$33:D$93),0)</f>
        <v>999.6224000000002</v>
      </c>
      <c r="M102" s="127" t="str">
        <f>+IF(L102&gt;0,(LOOKUP(L102,Tabulador!E$33:E$93,Tabulador!F$33:F$93)),0)</f>
        <v>(NOVECIENTOS CINCUENTA  PESOS  00/100 M.N.)</v>
      </c>
      <c r="N102" s="17">
        <f t="shared" ca="1" si="25"/>
        <v>149.2586871232877</v>
      </c>
      <c r="O102" s="59" t="s">
        <v>27</v>
      </c>
      <c r="P102" s="50" t="s">
        <v>207</v>
      </c>
      <c r="Q102" s="161">
        <v>5.3</v>
      </c>
      <c r="R102" s="93" t="s">
        <v>885</v>
      </c>
      <c r="S102" s="93" t="s">
        <v>886</v>
      </c>
      <c r="T102" s="133" t="s">
        <v>209</v>
      </c>
      <c r="U102" s="133"/>
      <c r="V102" s="106" t="s">
        <v>247</v>
      </c>
      <c r="W102" s="105" t="s">
        <v>248</v>
      </c>
      <c r="X102" s="138" t="s">
        <v>250</v>
      </c>
      <c r="Y102" s="180">
        <v>52937727882</v>
      </c>
      <c r="Z102" s="2" t="s">
        <v>451</v>
      </c>
      <c r="AA102" s="2" t="s">
        <v>452</v>
      </c>
      <c r="AB102" s="2" t="s">
        <v>253</v>
      </c>
      <c r="AD102" s="15">
        <v>28269</v>
      </c>
      <c r="AF102" s="160">
        <f t="shared" si="26"/>
        <v>24</v>
      </c>
      <c r="AG102" s="160">
        <f t="shared" si="27"/>
        <v>5</v>
      </c>
      <c r="AH102" s="110">
        <v>38</v>
      </c>
      <c r="AJ102" s="2" t="s">
        <v>453</v>
      </c>
      <c r="AK102" s="2" t="s">
        <v>454</v>
      </c>
      <c r="AL102" s="2" t="s">
        <v>455</v>
      </c>
      <c r="AM102" s="2" t="s">
        <v>265</v>
      </c>
      <c r="AN102" s="2" t="s">
        <v>285</v>
      </c>
      <c r="AO102" s="2" t="s">
        <v>253</v>
      </c>
      <c r="AP102" s="180">
        <v>28130</v>
      </c>
      <c r="AQ102" s="162">
        <v>1232514</v>
      </c>
      <c r="AR102" s="176">
        <v>3131262368</v>
      </c>
      <c r="AU102" s="2" t="s">
        <v>356</v>
      </c>
      <c r="AV102" s="2" t="s">
        <v>456</v>
      </c>
    </row>
    <row r="103" spans="1:49" x14ac:dyDescent="0.2">
      <c r="A103" s="163"/>
      <c r="B103" s="139">
        <v>42226</v>
      </c>
      <c r="C103" s="176">
        <f t="shared" si="28"/>
        <v>10</v>
      </c>
      <c r="D103" s="176">
        <f t="shared" si="29"/>
        <v>8</v>
      </c>
      <c r="E103" s="16" t="str">
        <f>+LOOKUP(D103,'Factor Integración'!$L$4:$L$15,'Factor Integración'!$M$4:$M$15)</f>
        <v>Agosto</v>
      </c>
      <c r="F103" s="176">
        <f t="shared" si="30"/>
        <v>2015</v>
      </c>
      <c r="G103" s="114" t="s">
        <v>187</v>
      </c>
      <c r="H103" s="182">
        <f>+IF(Q103&gt;0,(LOOKUP(Q103,Tabulador!C$34:C$93,Tabulador!D$34:D$93)/7),0)</f>
        <v>185.64285714285714</v>
      </c>
      <c r="I103" s="40">
        <f t="shared" ca="1" si="23"/>
        <v>42226</v>
      </c>
      <c r="J103" s="42">
        <f t="shared" ca="1" si="24"/>
        <v>0</v>
      </c>
      <c r="K103" s="38">
        <f ca="1">+IF(J103&gt;0,(LOOKUP(J103,'Factor Integración'!C$5:C$44,'Factor Integración'!G$5:G$44)),'Factor Integración'!$G$5)</f>
        <v>1.0452054794520547</v>
      </c>
      <c r="L103" s="125">
        <f>+IF(Q103&lt;&gt;0,LOOKUP(Q103,Tabulador!C$33:C$93,Tabulador!D$33:D$93),0)</f>
        <v>1299.5</v>
      </c>
      <c r="M103" s="127" t="str">
        <f>+IF(L103&gt;0,(LOOKUP(L103,Tabulador!E$33:E$93,Tabulador!F$33:F$93)),0)</f>
        <v>(UN MIL DOSCIENTOS CINCUENTA  PESOS  00/100 M.N.)</v>
      </c>
      <c r="N103" s="17">
        <f t="shared" ca="1" si="25"/>
        <v>194.03493150684929</v>
      </c>
      <c r="O103" s="59" t="s">
        <v>27</v>
      </c>
      <c r="P103" s="50" t="s">
        <v>207</v>
      </c>
      <c r="Q103" s="161">
        <v>6.3</v>
      </c>
      <c r="R103" s="143" t="s">
        <v>149</v>
      </c>
      <c r="S103" s="93" t="s">
        <v>879</v>
      </c>
      <c r="T103" s="130" t="s">
        <v>217</v>
      </c>
      <c r="U103" s="130" t="s">
        <v>244</v>
      </c>
      <c r="V103" s="106" t="s">
        <v>247</v>
      </c>
      <c r="W103" s="105" t="s">
        <v>248</v>
      </c>
      <c r="X103" s="138" t="s">
        <v>250</v>
      </c>
      <c r="Y103" s="180">
        <v>52086200335</v>
      </c>
      <c r="Z103" s="2" t="s">
        <v>463</v>
      </c>
      <c r="AA103" s="2" t="s">
        <v>462</v>
      </c>
      <c r="AB103" s="2" t="s">
        <v>464</v>
      </c>
      <c r="AD103" s="15">
        <v>22942</v>
      </c>
      <c r="AF103" s="160">
        <f t="shared" si="26"/>
        <v>23</v>
      </c>
      <c r="AG103" s="160">
        <f t="shared" si="27"/>
        <v>10</v>
      </c>
      <c r="AH103" s="110">
        <v>53</v>
      </c>
      <c r="AK103" s="2" t="s">
        <v>461</v>
      </c>
      <c r="AL103" s="2" t="s">
        <v>459</v>
      </c>
      <c r="AM103" s="2" t="s">
        <v>460</v>
      </c>
      <c r="AN103" s="2" t="s">
        <v>257</v>
      </c>
      <c r="AO103" s="2" t="s">
        <v>253</v>
      </c>
      <c r="AP103" s="180">
        <v>28134</v>
      </c>
      <c r="AQ103" s="162">
        <v>3267732</v>
      </c>
      <c r="AR103" s="176">
        <v>3131359581</v>
      </c>
      <c r="AU103" s="2" t="s">
        <v>258</v>
      </c>
      <c r="AV103" s="2" t="s">
        <v>458</v>
      </c>
      <c r="AW103" s="1" t="s">
        <v>457</v>
      </c>
    </row>
    <row r="104" spans="1:49" x14ac:dyDescent="0.2">
      <c r="A104" s="173"/>
      <c r="B104" s="139">
        <v>38047</v>
      </c>
      <c r="C104" s="176">
        <f t="shared" si="28"/>
        <v>1</v>
      </c>
      <c r="D104" s="176">
        <f t="shared" si="29"/>
        <v>3</v>
      </c>
      <c r="E104" s="16" t="str">
        <f>+LOOKUP(D104,'Factor Integración'!$L$4:$L$15,'Factor Integración'!$M$4:$M$15)</f>
        <v>Marzo</v>
      </c>
      <c r="F104" s="176">
        <f t="shared" si="30"/>
        <v>2004</v>
      </c>
      <c r="G104" s="116" t="s">
        <v>188</v>
      </c>
      <c r="H104" s="182">
        <f>+IF(Q104&gt;0,(LOOKUP(Q104,Tabulador!C$34:C$93,Tabulador!D$34:D$93)/7),0)</f>
        <v>200</v>
      </c>
      <c r="I104" s="40">
        <f t="shared" ca="1" si="23"/>
        <v>42430</v>
      </c>
      <c r="J104" s="42">
        <f t="shared" ca="1" si="24"/>
        <v>12</v>
      </c>
      <c r="K104" s="38">
        <f ca="1">+IF(J104&gt;0,(LOOKUP(J104,'Factor Integración'!C$5:C$44,'Factor Integración'!G$5:G$44)),'Factor Integración'!$G$5)</f>
        <v>1.0520547945205478</v>
      </c>
      <c r="L104" s="125">
        <f>+IF(Q104&lt;&gt;0,LOOKUP(Q104,Tabulador!C$33:C$93,Tabulador!D$33:D$93),0)</f>
        <v>1400</v>
      </c>
      <c r="M104" s="127" t="str">
        <f>+IF(L104&gt;0,(LOOKUP(L104,Tabulador!E$33:E$93,Tabulador!F$33:F$93)),0)</f>
        <v>(UN MIL CUATROCIENTOS  PESOS  00/100 M.N.)</v>
      </c>
      <c r="N104" s="17">
        <f t="shared" ca="1" si="25"/>
        <v>210.41095890410958</v>
      </c>
      <c r="O104" s="59" t="s">
        <v>27</v>
      </c>
      <c r="P104" s="50" t="s">
        <v>207</v>
      </c>
      <c r="Q104" s="161">
        <v>7.1</v>
      </c>
      <c r="R104" s="143" t="s">
        <v>149</v>
      </c>
      <c r="S104" s="93" t="s">
        <v>879</v>
      </c>
      <c r="T104" s="132" t="s">
        <v>210</v>
      </c>
      <c r="U104" s="132" t="s">
        <v>232</v>
      </c>
      <c r="V104" s="106" t="s">
        <v>247</v>
      </c>
      <c r="W104" s="105" t="s">
        <v>248</v>
      </c>
      <c r="X104" s="138" t="s">
        <v>298</v>
      </c>
      <c r="Y104" s="180">
        <v>52856710596</v>
      </c>
      <c r="Z104" s="2" t="s">
        <v>495</v>
      </c>
      <c r="AA104" s="2" t="s">
        <v>496</v>
      </c>
      <c r="AB104" s="2" t="s">
        <v>253</v>
      </c>
      <c r="AD104" s="139">
        <v>24477</v>
      </c>
      <c r="AF104" s="160">
        <f t="shared" si="26"/>
        <v>5</v>
      </c>
      <c r="AG104" s="160">
        <f t="shared" si="27"/>
        <v>1</v>
      </c>
      <c r="AH104" s="110">
        <v>48</v>
      </c>
      <c r="AJ104" s="2" t="s">
        <v>497</v>
      </c>
      <c r="AK104" s="2" t="s">
        <v>498</v>
      </c>
      <c r="AL104" s="2" t="s">
        <v>499</v>
      </c>
      <c r="AM104" s="2" t="s">
        <v>363</v>
      </c>
      <c r="AN104" s="2" t="s">
        <v>257</v>
      </c>
      <c r="AO104" s="2" t="s">
        <v>253</v>
      </c>
      <c r="AP104" s="180">
        <v>28180</v>
      </c>
      <c r="AR104" s="176">
        <v>3131087172</v>
      </c>
      <c r="AU104" s="2" t="s">
        <v>258</v>
      </c>
      <c r="AV104" s="2" t="s">
        <v>500</v>
      </c>
    </row>
    <row r="105" spans="1:49" x14ac:dyDescent="0.2">
      <c r="A105" s="173"/>
      <c r="C105" s="176">
        <f t="shared" si="28"/>
        <v>0</v>
      </c>
      <c r="D105" s="176">
        <f t="shared" si="29"/>
        <v>1</v>
      </c>
      <c r="E105" s="16" t="str">
        <f>+LOOKUP(D105,'Factor Integración'!$L$4:$L$15,'Factor Integración'!$M$4:$M$15)</f>
        <v>Enero</v>
      </c>
      <c r="F105" s="176">
        <f t="shared" si="30"/>
        <v>1900</v>
      </c>
      <c r="G105" s="114" t="s">
        <v>189</v>
      </c>
      <c r="H105" s="182">
        <f>+IF(Q105&gt;0,(LOOKUP(Q105,Tabulador!C$34:C$93,Tabulador!D$34:D$93)/7),0)</f>
        <v>157.08589348571431</v>
      </c>
      <c r="I105" s="40" t="str">
        <f t="shared" ca="1" si="23"/>
        <v/>
      </c>
      <c r="J105" s="42">
        <f t="shared" ca="1" si="24"/>
        <v>0</v>
      </c>
      <c r="K105" s="38">
        <f ca="1">+IF(J105&gt;0,(LOOKUP(J105,'Factor Integración'!C$5:C$44,'Factor Integración'!G$5:G$44)),'Factor Integración'!$G$5)</f>
        <v>1.0452054794520547</v>
      </c>
      <c r="L105" s="125">
        <f>+IF(Q105&lt;&gt;0,LOOKUP(Q105,Tabulador!C$33:C$93,Tabulador!D$33:D$93),0)</f>
        <v>1099.6012544000002</v>
      </c>
      <c r="M105" s="127" t="str">
        <f>+IF(L105&gt;0,(LOOKUP(L105,Tabulador!E$33:E$93,Tabulador!F$33:F$93)),0)</f>
        <v>(UN MIL  PESOS  00/100 M.N.)</v>
      </c>
      <c r="N105" s="17">
        <f t="shared" ca="1" si="25"/>
        <v>164.18703661589041</v>
      </c>
      <c r="O105" s="59" t="s">
        <v>27</v>
      </c>
      <c r="P105" s="50" t="s">
        <v>207</v>
      </c>
      <c r="Q105" s="161">
        <v>5.4</v>
      </c>
      <c r="R105" s="143" t="s">
        <v>149</v>
      </c>
      <c r="S105" s="93" t="s">
        <v>879</v>
      </c>
      <c r="T105" s="130" t="s">
        <v>210</v>
      </c>
      <c r="U105" s="130" t="s">
        <v>226</v>
      </c>
      <c r="V105" s="106" t="s">
        <v>247</v>
      </c>
      <c r="W105" s="105" t="s">
        <v>248</v>
      </c>
      <c r="X105" s="138" t="s">
        <v>298</v>
      </c>
      <c r="AF105" s="160">
        <f t="shared" si="26"/>
        <v>0</v>
      </c>
      <c r="AG105" s="160">
        <v>0</v>
      </c>
      <c r="AL105" s="2" t="s">
        <v>894</v>
      </c>
      <c r="AM105" s="2" t="s">
        <v>447</v>
      </c>
      <c r="AN105" s="2" t="s">
        <v>257</v>
      </c>
      <c r="AO105" s="2" t="s">
        <v>253</v>
      </c>
      <c r="AP105" s="180">
        <v>28750</v>
      </c>
      <c r="AQ105" s="162">
        <v>3242384</v>
      </c>
    </row>
    <row r="106" spans="1:49" x14ac:dyDescent="0.2">
      <c r="A106" s="173"/>
      <c r="B106" s="139">
        <v>42194</v>
      </c>
      <c r="C106" s="176">
        <f t="shared" si="28"/>
        <v>9</v>
      </c>
      <c r="D106" s="176">
        <f t="shared" si="29"/>
        <v>7</v>
      </c>
      <c r="E106" s="16" t="str">
        <f>+LOOKUP(D106,'Factor Integración'!$L$4:$L$15,'Factor Integración'!$M$4:$M$15)</f>
        <v>Julio</v>
      </c>
      <c r="F106" s="176">
        <f t="shared" si="30"/>
        <v>2015</v>
      </c>
      <c r="G106" s="114" t="s">
        <v>190</v>
      </c>
      <c r="H106" s="182">
        <f>+IF(Q106&gt;0,(LOOKUP(Q106,Tabulador!C$34:C$93,Tabulador!D$34:D$93)/7),0)</f>
        <v>157.08589348571431</v>
      </c>
      <c r="I106" s="40">
        <f t="shared" ca="1" si="23"/>
        <v>42560</v>
      </c>
      <c r="J106" s="42">
        <f t="shared" ca="1" si="24"/>
        <v>1</v>
      </c>
      <c r="K106" s="38">
        <f ca="1">+IF(J106&gt;0,(LOOKUP(J106,'Factor Integración'!C$5:C$44,'Factor Integración'!G$5:G$44)),'Factor Integración'!$G$5)</f>
        <v>1.0452054794520547</v>
      </c>
      <c r="L106" s="125">
        <f>+IF(Q106&lt;&gt;0,LOOKUP(Q106,Tabulador!C$33:C$93,Tabulador!D$33:D$93),0)</f>
        <v>1099.6012544000002</v>
      </c>
      <c r="M106" s="127" t="str">
        <f>+IF(L106&gt;0,(LOOKUP(L106,Tabulador!E$33:E$93,Tabulador!F$33:F$93)),0)</f>
        <v>(UN MIL  PESOS  00/100 M.N.)</v>
      </c>
      <c r="N106" s="17">
        <f t="shared" ca="1" si="25"/>
        <v>164.18703661589041</v>
      </c>
      <c r="O106" s="59" t="s">
        <v>27</v>
      </c>
      <c r="P106" s="50" t="s">
        <v>207</v>
      </c>
      <c r="Q106" s="161">
        <v>5.4</v>
      </c>
      <c r="R106" s="143" t="s">
        <v>149</v>
      </c>
      <c r="S106" s="93" t="s">
        <v>879</v>
      </c>
      <c r="T106" s="130" t="s">
        <v>210</v>
      </c>
      <c r="U106" s="130" t="s">
        <v>226</v>
      </c>
      <c r="V106" s="106" t="s">
        <v>247</v>
      </c>
      <c r="W106" s="105" t="s">
        <v>248</v>
      </c>
      <c r="X106" s="138" t="s">
        <v>298</v>
      </c>
      <c r="Z106" s="2" t="s">
        <v>546</v>
      </c>
      <c r="AA106" s="2" t="s">
        <v>547</v>
      </c>
      <c r="AB106" s="2" t="s">
        <v>253</v>
      </c>
      <c r="AD106" s="15">
        <v>24768</v>
      </c>
      <c r="AF106" s="160">
        <f t="shared" si="26"/>
        <v>23</v>
      </c>
      <c r="AG106" s="160">
        <f t="shared" si="27"/>
        <v>10</v>
      </c>
      <c r="AH106" s="110">
        <v>48</v>
      </c>
      <c r="AJ106" s="2" t="s">
        <v>548</v>
      </c>
      <c r="AK106" s="2" t="s">
        <v>549</v>
      </c>
      <c r="AL106" s="2" t="s">
        <v>550</v>
      </c>
      <c r="AM106" s="2" t="s">
        <v>551</v>
      </c>
      <c r="AN106" s="2" t="s">
        <v>257</v>
      </c>
      <c r="AO106" s="2" t="s">
        <v>253</v>
      </c>
      <c r="AR106" s="176">
        <v>3131115931</v>
      </c>
    </row>
    <row r="107" spans="1:49" x14ac:dyDescent="0.2">
      <c r="A107" s="173"/>
      <c r="B107" s="139">
        <v>41995</v>
      </c>
      <c r="C107" s="176">
        <f t="shared" si="28"/>
        <v>22</v>
      </c>
      <c r="D107" s="176">
        <f t="shared" si="29"/>
        <v>12</v>
      </c>
      <c r="E107" s="16" t="str">
        <f>+LOOKUP(D107,'Factor Integración'!$L$4:$L$15,'Factor Integración'!$M$4:$M$15)</f>
        <v>Diciembre</v>
      </c>
      <c r="F107" s="176">
        <f t="shared" si="30"/>
        <v>2014</v>
      </c>
      <c r="G107" s="118" t="s">
        <v>191</v>
      </c>
      <c r="H107" s="182">
        <f>+IF(Q107&gt;0,(LOOKUP(Q107,Tabulador!C$34:C$93,Tabulador!D$34:D$93)/7),0)</f>
        <v>357.14285714285717</v>
      </c>
      <c r="I107" s="40">
        <f t="shared" ca="1" si="23"/>
        <v>42360</v>
      </c>
      <c r="J107" s="42">
        <f t="shared" ca="1" si="24"/>
        <v>1</v>
      </c>
      <c r="K107" s="38">
        <f ca="1">+IF(J107&gt;0,(LOOKUP(J107,'Factor Integración'!C$5:C$44,'Factor Integración'!G$5:G$44)),'Factor Integración'!$G$5)</f>
        <v>1.0452054794520547</v>
      </c>
      <c r="L107" s="125">
        <f>+IF(Q107&lt;&gt;0,LOOKUP(Q107,Tabulador!C$33:C$93,Tabulador!D$33:D$93),0)</f>
        <v>2500</v>
      </c>
      <c r="M107" s="127" t="str">
        <f>+IF(L107&gt;0,(LOOKUP(L107,Tabulador!E$33:E$93,Tabulador!F$33:F$93)),0)</f>
        <v>(DOS MIL QUINIENTOS  PESOS  00/100 M.N.)</v>
      </c>
      <c r="N107" s="17">
        <f t="shared" ca="1" si="25"/>
        <v>373.28767123287668</v>
      </c>
      <c r="O107" s="59" t="s">
        <v>27</v>
      </c>
      <c r="P107" s="50" t="s">
        <v>207</v>
      </c>
      <c r="Q107" s="161">
        <v>10.199999999999999</v>
      </c>
      <c r="R107" s="143" t="s">
        <v>149</v>
      </c>
      <c r="S107" s="93" t="s">
        <v>879</v>
      </c>
      <c r="T107" s="134" t="s">
        <v>210</v>
      </c>
      <c r="U107" s="134" t="s">
        <v>224</v>
      </c>
      <c r="V107" s="106" t="s">
        <v>247</v>
      </c>
      <c r="W107" s="105" t="s">
        <v>248</v>
      </c>
      <c r="X107" s="138" t="s">
        <v>250</v>
      </c>
      <c r="Z107" s="2" t="s">
        <v>589</v>
      </c>
      <c r="AA107" s="2" t="s">
        <v>590</v>
      </c>
      <c r="AB107" s="2" t="s">
        <v>253</v>
      </c>
      <c r="AD107" s="15">
        <v>27370</v>
      </c>
      <c r="AF107" s="160">
        <f t="shared" si="26"/>
        <v>7</v>
      </c>
      <c r="AG107" s="160">
        <f t="shared" si="27"/>
        <v>12</v>
      </c>
      <c r="AH107" s="110">
        <v>41</v>
      </c>
      <c r="AL107" s="2" t="s">
        <v>591</v>
      </c>
      <c r="AM107" s="2" t="s">
        <v>592</v>
      </c>
      <c r="AN107" s="2" t="s">
        <v>257</v>
      </c>
      <c r="AO107" s="2" t="s">
        <v>253</v>
      </c>
      <c r="AP107" s="180">
        <v>28134</v>
      </c>
      <c r="AR107" s="176">
        <v>3133284864</v>
      </c>
      <c r="AU107" s="2" t="s">
        <v>258</v>
      </c>
      <c r="AV107" s="2" t="s">
        <v>593</v>
      </c>
    </row>
    <row r="108" spans="1:49" x14ac:dyDescent="0.2">
      <c r="A108" s="163"/>
      <c r="B108" s="139">
        <v>40413</v>
      </c>
      <c r="C108" s="176">
        <f t="shared" si="28"/>
        <v>23</v>
      </c>
      <c r="D108" s="176">
        <f t="shared" si="29"/>
        <v>8</v>
      </c>
      <c r="E108" s="16" t="str">
        <f>+LOOKUP(D108,'Factor Integración'!$L$4:$L$15,'Factor Integración'!$M$4:$M$15)</f>
        <v>Agosto</v>
      </c>
      <c r="F108" s="176">
        <f t="shared" si="30"/>
        <v>2010</v>
      </c>
      <c r="G108" s="116" t="s">
        <v>192</v>
      </c>
      <c r="H108" s="182">
        <f>+IF(Q108&gt;0,(LOOKUP(Q108,Tabulador!C$34:C$93,Tabulador!D$34:D$93)/7),0)</f>
        <v>28.571428571428573</v>
      </c>
      <c r="I108" s="40">
        <f t="shared" ca="1" si="23"/>
        <v>42239</v>
      </c>
      <c r="J108" s="42">
        <f t="shared" ca="1" si="24"/>
        <v>5</v>
      </c>
      <c r="K108" s="38">
        <f ca="1">+IF(J108&gt;0,(LOOKUP(J108,'Factor Integración'!C$5:C$44,'Factor Integración'!G$5:G$44)),'Factor Integración'!$G$5)</f>
        <v>1.0506849315068492</v>
      </c>
      <c r="L108" s="125">
        <f>+IF(Q108&lt;&gt;0,LOOKUP(Q108,Tabulador!C$33:C$93,Tabulador!D$33:D$93),0)</f>
        <v>200</v>
      </c>
      <c r="M108" s="127" t="str">
        <f>+IF(L108&gt;0,(LOOKUP(L108,Tabulador!E$33:E$93,Tabulador!F$33:F$93)),0)</f>
        <v>(DOSCIENTOS  PESOS  00/100 M.N.)</v>
      </c>
      <c r="N108" s="17">
        <f t="shared" ca="1" si="25"/>
        <v>30.019569471624262</v>
      </c>
      <c r="O108" s="59" t="s">
        <v>27</v>
      </c>
      <c r="P108" s="50" t="s">
        <v>207</v>
      </c>
      <c r="Q108" s="161">
        <v>1.1000000000000001</v>
      </c>
      <c r="R108" s="143" t="s">
        <v>149</v>
      </c>
      <c r="S108" s="93" t="s">
        <v>879</v>
      </c>
      <c r="T108" s="132" t="s">
        <v>210</v>
      </c>
      <c r="U108" s="132" t="s">
        <v>237</v>
      </c>
      <c r="V108" s="106" t="s">
        <v>247</v>
      </c>
      <c r="W108" s="105" t="s">
        <v>248</v>
      </c>
      <c r="X108" s="138" t="s">
        <v>250</v>
      </c>
      <c r="Y108" s="180">
        <v>52998011358</v>
      </c>
      <c r="Z108" s="2" t="s">
        <v>609</v>
      </c>
      <c r="AA108" s="2" t="s">
        <v>610</v>
      </c>
      <c r="AB108" s="2" t="s">
        <v>253</v>
      </c>
      <c r="AD108" s="15">
        <v>29319</v>
      </c>
      <c r="AF108" s="160">
        <f t="shared" si="26"/>
        <v>8</v>
      </c>
      <c r="AG108" s="160">
        <f t="shared" si="27"/>
        <v>4</v>
      </c>
      <c r="AH108" s="110">
        <v>35</v>
      </c>
      <c r="AL108" s="2" t="s">
        <v>611</v>
      </c>
      <c r="AM108" s="2" t="s">
        <v>348</v>
      </c>
      <c r="AN108" s="2" t="s">
        <v>257</v>
      </c>
      <c r="AO108" s="2" t="s">
        <v>253</v>
      </c>
      <c r="AP108" s="180">
        <v>28180</v>
      </c>
    </row>
    <row r="109" spans="1:49" x14ac:dyDescent="0.2">
      <c r="C109" s="176">
        <f t="shared" si="28"/>
        <v>0</v>
      </c>
      <c r="D109" s="176">
        <f t="shared" si="29"/>
        <v>1</v>
      </c>
      <c r="E109" s="16" t="str">
        <f>+LOOKUP(D109,'Factor Integración'!$L$4:$L$15,'Factor Integración'!$M$4:$M$15)</f>
        <v>Enero</v>
      </c>
      <c r="F109" s="176">
        <f t="shared" si="30"/>
        <v>1900</v>
      </c>
      <c r="G109" s="113" t="s">
        <v>193</v>
      </c>
      <c r="H109" s="182" t="e">
        <f>+IF(Q109&gt;0,(LOOKUP(Q109,Tabulador!C$34:C$93,Tabulador!D$34:D$93)/7),0)</f>
        <v>#N/A</v>
      </c>
      <c r="I109" s="40" t="str">
        <f t="shared" ca="1" si="23"/>
        <v/>
      </c>
      <c r="J109" s="42">
        <f t="shared" ca="1" si="24"/>
        <v>0</v>
      </c>
      <c r="K109" s="38">
        <f ca="1">+IF(J109&gt;0,(LOOKUP(J109,'Factor Integración'!C$5:C$44,'Factor Integración'!G$5:G$44)),'Factor Integración'!$G$5)</f>
        <v>1.0452054794520547</v>
      </c>
      <c r="L109" s="125">
        <f>+IF(Q109&lt;&gt;0,LOOKUP(Q109,Tabulador!C$33:C$93,Tabulador!D$33:D$93),0)</f>
        <v>0</v>
      </c>
      <c r="M109" s="127">
        <f>+IF(L109&gt;0,(LOOKUP(L109,Tabulador!E$33:E$93,Tabulador!F$33:F$93)),0)</f>
        <v>0</v>
      </c>
      <c r="N109" s="17" t="e">
        <f t="shared" ca="1" si="25"/>
        <v>#N/A</v>
      </c>
      <c r="O109" s="59" t="s">
        <v>27</v>
      </c>
      <c r="P109" s="50" t="s">
        <v>207</v>
      </c>
      <c r="Q109" s="161">
        <v>1</v>
      </c>
      <c r="R109" s="143" t="s">
        <v>149</v>
      </c>
      <c r="S109" s="93" t="s">
        <v>879</v>
      </c>
      <c r="T109" s="129" t="s">
        <v>210</v>
      </c>
      <c r="U109" s="129" t="s">
        <v>240</v>
      </c>
      <c r="V109" s="106" t="s">
        <v>247</v>
      </c>
      <c r="W109" s="105" t="s">
        <v>248</v>
      </c>
      <c r="X109" s="138" t="s">
        <v>298</v>
      </c>
      <c r="AF109" s="160">
        <f t="shared" si="26"/>
        <v>0</v>
      </c>
      <c r="AG109" s="160">
        <v>0</v>
      </c>
    </row>
    <row r="110" spans="1:49" x14ac:dyDescent="0.2">
      <c r="A110" s="173"/>
      <c r="B110" s="139">
        <v>42222</v>
      </c>
      <c r="C110" s="176">
        <f t="shared" si="28"/>
        <v>6</v>
      </c>
      <c r="D110" s="176">
        <f t="shared" si="29"/>
        <v>8</v>
      </c>
      <c r="E110" s="16" t="str">
        <f>+LOOKUP(D110,'Factor Integración'!$L$4:$L$15,'Factor Integración'!$M$4:$M$15)</f>
        <v>Agosto</v>
      </c>
      <c r="F110" s="176">
        <f t="shared" si="30"/>
        <v>2015</v>
      </c>
      <c r="G110" s="114" t="s">
        <v>194</v>
      </c>
      <c r="H110" s="182">
        <f>+IF(Q110&gt;0,(LOOKUP(Q110,Tabulador!C$34:C$93,Tabulador!D$34:D$93)/7),0)</f>
        <v>128.57142857142858</v>
      </c>
      <c r="I110" s="40">
        <f t="shared" ca="1" si="23"/>
        <v>42222</v>
      </c>
      <c r="J110" s="42">
        <f t="shared" ca="1" si="24"/>
        <v>0</v>
      </c>
      <c r="K110" s="38">
        <f ca="1">+IF(J110&gt;0,(LOOKUP(J110,'Factor Integración'!C$5:C$44,'Factor Integración'!G$5:G$44)),'Factor Integración'!$G$5)</f>
        <v>1.0452054794520547</v>
      </c>
      <c r="L110" s="125">
        <f>+IF(Q110&lt;&gt;0,LOOKUP(Q110,Tabulador!C$33:C$93,Tabulador!D$33:D$93),0)</f>
        <v>900</v>
      </c>
      <c r="M110" s="127" t="str">
        <f>+IF(L110&gt;0,(LOOKUP(L110,Tabulador!E$33:E$93,Tabulador!F$33:F$93)),0)</f>
        <v>(NOVECIENTOS  PESOS  00/100 M.N.)</v>
      </c>
      <c r="N110" s="17">
        <f t="shared" ca="1" si="25"/>
        <v>134.38356164383561</v>
      </c>
      <c r="O110" s="59" t="s">
        <v>27</v>
      </c>
      <c r="P110" s="50" t="s">
        <v>207</v>
      </c>
      <c r="Q110" s="161">
        <v>5.0999999999999996</v>
      </c>
      <c r="R110" s="143" t="s">
        <v>149</v>
      </c>
      <c r="S110" s="93" t="s">
        <v>879</v>
      </c>
      <c r="T110" s="130" t="s">
        <v>210</v>
      </c>
      <c r="U110" s="130" t="s">
        <v>240</v>
      </c>
      <c r="V110" s="106" t="s">
        <v>247</v>
      </c>
      <c r="W110" s="105" t="s">
        <v>248</v>
      </c>
      <c r="X110" s="138" t="s">
        <v>250</v>
      </c>
      <c r="Y110" s="180">
        <v>52007703227</v>
      </c>
      <c r="Z110" s="2" t="s">
        <v>624</v>
      </c>
      <c r="AA110" s="2" t="s">
        <v>625</v>
      </c>
      <c r="AB110" s="2" t="s">
        <v>253</v>
      </c>
      <c r="AD110" s="15">
        <v>28398</v>
      </c>
      <c r="AF110" s="160">
        <f t="shared" si="26"/>
        <v>30</v>
      </c>
      <c r="AG110" s="160">
        <f t="shared" si="27"/>
        <v>9</v>
      </c>
      <c r="AH110" s="110">
        <v>38</v>
      </c>
      <c r="AJ110" s="2" t="s">
        <v>626</v>
      </c>
      <c r="AK110" s="2" t="s">
        <v>627</v>
      </c>
      <c r="AL110" s="2" t="s">
        <v>628</v>
      </c>
      <c r="AM110" s="2" t="s">
        <v>265</v>
      </c>
      <c r="AN110" s="2" t="s">
        <v>257</v>
      </c>
      <c r="AO110" s="2" t="s">
        <v>253</v>
      </c>
      <c r="AU110" s="2" t="s">
        <v>266</v>
      </c>
    </row>
    <row r="111" spans="1:49" x14ac:dyDescent="0.2">
      <c r="A111" s="173"/>
      <c r="B111" s="139">
        <v>42055</v>
      </c>
      <c r="C111" s="176">
        <f t="shared" si="28"/>
        <v>20</v>
      </c>
      <c r="D111" s="176">
        <f t="shared" si="29"/>
        <v>2</v>
      </c>
      <c r="E111" s="16" t="str">
        <f>+LOOKUP(D111,'Factor Integración'!$L$4:$L$15,'Factor Integración'!$M$4:$M$15)</f>
        <v>Febrero</v>
      </c>
      <c r="F111" s="176">
        <f t="shared" si="30"/>
        <v>2015</v>
      </c>
      <c r="G111" s="114" t="s">
        <v>195</v>
      </c>
      <c r="H111" s="182">
        <f>+IF(Q111&gt;0,(LOOKUP(Q111,Tabulador!C$34:C$93,Tabulador!D$34:D$93)/7),0)</f>
        <v>142.80320000000003</v>
      </c>
      <c r="I111" s="40">
        <f t="shared" ca="1" si="23"/>
        <v>42420</v>
      </c>
      <c r="J111" s="42">
        <f t="shared" ca="1" si="24"/>
        <v>1</v>
      </c>
      <c r="K111" s="38">
        <f ca="1">+IF(J111&gt;0,(LOOKUP(J111,'Factor Integración'!C$5:C$44,'Factor Integración'!G$5:G$44)),'Factor Integración'!$G$5)</f>
        <v>1.0452054794520547</v>
      </c>
      <c r="L111" s="125">
        <f>+IF(Q111&lt;&gt;0,LOOKUP(Q111,Tabulador!C$33:C$93,Tabulador!D$33:D$93),0)</f>
        <v>999.6224000000002</v>
      </c>
      <c r="M111" s="127" t="str">
        <f>+IF(L111&gt;0,(LOOKUP(L111,Tabulador!E$33:E$93,Tabulador!F$33:F$93)),0)</f>
        <v>(NOVECIENTOS CINCUENTA  PESOS  00/100 M.N.)</v>
      </c>
      <c r="N111" s="17">
        <f t="shared" ca="1" si="25"/>
        <v>149.2586871232877</v>
      </c>
      <c r="O111" s="59" t="s">
        <v>27</v>
      </c>
      <c r="P111" s="50" t="s">
        <v>207</v>
      </c>
      <c r="Q111" s="161">
        <v>5.3</v>
      </c>
      <c r="R111" s="143" t="s">
        <v>149</v>
      </c>
      <c r="S111" s="93" t="s">
        <v>879</v>
      </c>
      <c r="T111" s="130" t="s">
        <v>210</v>
      </c>
      <c r="U111" s="130" t="s">
        <v>240</v>
      </c>
      <c r="V111" s="106" t="s">
        <v>247</v>
      </c>
      <c r="W111" s="105" t="s">
        <v>248</v>
      </c>
      <c r="X111" s="138" t="s">
        <v>298</v>
      </c>
      <c r="Z111" s="2" t="s">
        <v>633</v>
      </c>
      <c r="AA111" s="2" t="s">
        <v>634</v>
      </c>
      <c r="AB111" s="2" t="s">
        <v>253</v>
      </c>
      <c r="AD111" s="15">
        <v>28534</v>
      </c>
      <c r="AF111" s="160">
        <f t="shared" si="26"/>
        <v>13</v>
      </c>
      <c r="AG111" s="160">
        <f t="shared" si="27"/>
        <v>2</v>
      </c>
      <c r="AH111" s="110">
        <v>37</v>
      </c>
      <c r="AL111" s="2" t="s">
        <v>635</v>
      </c>
      <c r="AM111" s="2" t="s">
        <v>636</v>
      </c>
      <c r="AN111" s="2" t="s">
        <v>257</v>
      </c>
      <c r="AO111" s="2" t="s">
        <v>253</v>
      </c>
      <c r="AQ111" s="162">
        <v>3265718</v>
      </c>
      <c r="AR111" s="176">
        <v>3338204614</v>
      </c>
      <c r="AU111" s="2" t="s">
        <v>258</v>
      </c>
      <c r="AV111" s="2" t="s">
        <v>637</v>
      </c>
    </row>
    <row r="112" spans="1:49" x14ac:dyDescent="0.2">
      <c r="A112" s="163"/>
      <c r="B112" s="139">
        <v>41680</v>
      </c>
      <c r="C112" s="176">
        <f t="shared" si="28"/>
        <v>10</v>
      </c>
      <c r="D112" s="176">
        <f t="shared" si="29"/>
        <v>2</v>
      </c>
      <c r="E112" s="16" t="str">
        <f>+LOOKUP(D112,'Factor Integración'!$L$4:$L$15,'Factor Integración'!$M$4:$M$15)</f>
        <v>Febrero</v>
      </c>
      <c r="F112" s="176">
        <f t="shared" si="30"/>
        <v>2014</v>
      </c>
      <c r="G112" s="119" t="s">
        <v>196</v>
      </c>
      <c r="H112" s="182">
        <f>+IF(Q112&gt;0,(LOOKUP(Q112,Tabulador!C$34:C$93,Tabulador!D$34:D$93)/7),0)</f>
        <v>135.77142857142857</v>
      </c>
      <c r="I112" s="40">
        <f t="shared" ca="1" si="23"/>
        <v>42410</v>
      </c>
      <c r="J112" s="42">
        <f t="shared" ca="1" si="24"/>
        <v>2</v>
      </c>
      <c r="K112" s="38">
        <f ca="1">+IF(J112&gt;0,(LOOKUP(J112,'Factor Integración'!C$5:C$44,'Factor Integración'!G$5:G$44)),'Factor Integración'!$G$5)</f>
        <v>1.0465753424657533</v>
      </c>
      <c r="L112" s="125">
        <f>+IF(Q112&lt;&gt;0,LOOKUP(Q112,Tabulador!C$33:C$93,Tabulador!D$33:D$93),0)</f>
        <v>950.40000000000009</v>
      </c>
      <c r="M112" s="127" t="str">
        <f>+IF(L112&gt;0,(LOOKUP(L112,Tabulador!E$33:E$93,Tabulador!F$33:F$93)),0)</f>
        <v>(NOVECIENTOS CINCUENTA  PESOS  00/100 M.N.)</v>
      </c>
      <c r="N112" s="17">
        <f t="shared" ca="1" si="25"/>
        <v>142.09502935420744</v>
      </c>
      <c r="O112" s="59" t="s">
        <v>27</v>
      </c>
      <c r="P112" s="50" t="s">
        <v>207</v>
      </c>
      <c r="Q112" s="161">
        <v>5.2</v>
      </c>
      <c r="R112" s="93" t="s">
        <v>885</v>
      </c>
      <c r="S112" s="93" t="s">
        <v>886</v>
      </c>
      <c r="T112" s="135" t="s">
        <v>215</v>
      </c>
      <c r="U112" s="135"/>
      <c r="V112" s="106" t="s">
        <v>247</v>
      </c>
      <c r="W112" s="105" t="s">
        <v>248</v>
      </c>
      <c r="X112" s="138" t="s">
        <v>298</v>
      </c>
      <c r="Y112" s="180">
        <v>5296759959</v>
      </c>
      <c r="Z112" s="2" t="s">
        <v>648</v>
      </c>
      <c r="AA112" s="2" t="s">
        <v>649</v>
      </c>
      <c r="AB112" s="2" t="s">
        <v>253</v>
      </c>
      <c r="AD112" s="15">
        <v>27584</v>
      </c>
      <c r="AF112" s="160">
        <f t="shared" si="26"/>
        <v>9</v>
      </c>
      <c r="AG112" s="160">
        <f t="shared" si="27"/>
        <v>7</v>
      </c>
      <c r="AH112" s="110">
        <v>40</v>
      </c>
      <c r="AJ112" s="2" t="s">
        <v>650</v>
      </c>
      <c r="AK112" s="2" t="s">
        <v>651</v>
      </c>
      <c r="AL112" s="2" t="s">
        <v>652</v>
      </c>
      <c r="AM112" s="2" t="s">
        <v>447</v>
      </c>
      <c r="AN112" s="2" t="s">
        <v>257</v>
      </c>
      <c r="AO112" s="2" t="s">
        <v>253</v>
      </c>
      <c r="AP112" s="180">
        <v>28150</v>
      </c>
      <c r="AQ112" s="162">
        <v>3245902</v>
      </c>
      <c r="AR112" s="176">
        <v>3139620787</v>
      </c>
      <c r="AU112" s="2" t="s">
        <v>266</v>
      </c>
    </row>
    <row r="113" spans="1:63" x14ac:dyDescent="0.2">
      <c r="A113" s="163" t="s">
        <v>939</v>
      </c>
      <c r="B113" s="145">
        <v>42222</v>
      </c>
      <c r="C113" s="176">
        <f t="shared" si="28"/>
        <v>6</v>
      </c>
      <c r="D113" s="176">
        <f t="shared" si="29"/>
        <v>8</v>
      </c>
      <c r="E113" s="16" t="str">
        <f>+LOOKUP(D113,'Factor Integración'!$L$4:$L$15,'Factor Integración'!$M$4:$M$15)</f>
        <v>Agosto</v>
      </c>
      <c r="F113" s="176">
        <f t="shared" si="30"/>
        <v>2015</v>
      </c>
      <c r="G113" s="114" t="s">
        <v>197</v>
      </c>
      <c r="H113" s="182">
        <f>+IF(Q113&gt;0,(LOOKUP(Q113,Tabulador!C$34:C$93,Tabulador!D$34:D$93)/7),0)</f>
        <v>185.64285714285714</v>
      </c>
      <c r="I113" s="40">
        <f t="shared" ca="1" si="23"/>
        <v>42222</v>
      </c>
      <c r="J113" s="42">
        <f t="shared" ca="1" si="24"/>
        <v>0</v>
      </c>
      <c r="K113" s="38">
        <f ca="1">+IF(J113&gt;0,(LOOKUP(J113,'Factor Integración'!C$5:C$44,'Factor Integración'!G$5:G$44)),'Factor Integración'!$G$5)</f>
        <v>1.0452054794520547</v>
      </c>
      <c r="L113" s="125">
        <f>+IF(Q113&lt;&gt;0,LOOKUP(Q113,Tabulador!C$33:C$93,Tabulador!D$33:D$93),0)</f>
        <v>1299.5</v>
      </c>
      <c r="M113" s="127" t="str">
        <f>+IF(L113&gt;0,(LOOKUP(L113,Tabulador!E$33:E$93,Tabulador!F$33:F$93)),0)</f>
        <v>(UN MIL DOSCIENTOS CINCUENTA  PESOS  00/100 M.N.)</v>
      </c>
      <c r="N113" s="17">
        <f t="shared" ca="1" si="25"/>
        <v>194.03493150684929</v>
      </c>
      <c r="O113" s="59" t="s">
        <v>27</v>
      </c>
      <c r="P113" s="50" t="s">
        <v>207</v>
      </c>
      <c r="Q113" s="161">
        <v>6.3</v>
      </c>
      <c r="R113" s="93" t="s">
        <v>885</v>
      </c>
      <c r="S113" s="93" t="s">
        <v>886</v>
      </c>
      <c r="T113" s="130" t="s">
        <v>215</v>
      </c>
      <c r="U113" s="130" t="s">
        <v>684</v>
      </c>
      <c r="V113" s="106" t="s">
        <v>247</v>
      </c>
      <c r="W113" s="105" t="s">
        <v>248</v>
      </c>
      <c r="X113" s="138" t="s">
        <v>250</v>
      </c>
      <c r="Y113" s="180">
        <v>52988202025</v>
      </c>
      <c r="Z113" s="2" t="s">
        <v>685</v>
      </c>
      <c r="AA113" s="2" t="s">
        <v>686</v>
      </c>
      <c r="AB113" s="2" t="s">
        <v>253</v>
      </c>
      <c r="AD113" s="15">
        <v>29969</v>
      </c>
      <c r="AF113" s="160">
        <f t="shared" si="26"/>
        <v>18</v>
      </c>
      <c r="AG113" s="160">
        <f t="shared" si="27"/>
        <v>1</v>
      </c>
      <c r="AH113" s="110">
        <v>33</v>
      </c>
      <c r="AJ113" s="2" t="s">
        <v>687</v>
      </c>
      <c r="AK113" s="2" t="s">
        <v>688</v>
      </c>
      <c r="AL113" s="2" t="s">
        <v>689</v>
      </c>
      <c r="AM113" s="2" t="s">
        <v>311</v>
      </c>
      <c r="AN113" s="2" t="s">
        <v>257</v>
      </c>
      <c r="AO113" s="2" t="s">
        <v>253</v>
      </c>
      <c r="AP113" s="180">
        <v>28134</v>
      </c>
      <c r="AR113" s="176">
        <v>3131150897</v>
      </c>
      <c r="AU113" s="2" t="s">
        <v>690</v>
      </c>
    </row>
    <row r="114" spans="1:63" x14ac:dyDescent="0.2">
      <c r="A114" s="173"/>
      <c r="B114" s="139">
        <v>42202</v>
      </c>
      <c r="C114" s="176">
        <f t="shared" si="28"/>
        <v>17</v>
      </c>
      <c r="D114" s="176">
        <f t="shared" si="29"/>
        <v>7</v>
      </c>
      <c r="E114" s="16" t="str">
        <f>+LOOKUP(D114,'Factor Integración'!$L$4:$L$15,'Factor Integración'!$M$4:$M$15)</f>
        <v>Julio</v>
      </c>
      <c r="F114" s="176">
        <f t="shared" si="30"/>
        <v>2015</v>
      </c>
      <c r="G114" s="114" t="s">
        <v>198</v>
      </c>
      <c r="H114" s="182">
        <f>+IF(Q114&gt;0,(LOOKUP(Q114,Tabulador!C$34:C$93,Tabulador!D$34:D$93)/7),0)</f>
        <v>185.64285714285714</v>
      </c>
      <c r="I114" s="40">
        <f t="shared" ca="1" si="23"/>
        <v>42202</v>
      </c>
      <c r="J114" s="42">
        <f t="shared" ca="1" si="24"/>
        <v>0</v>
      </c>
      <c r="K114" s="38">
        <f ca="1">+IF(J114&gt;0,(LOOKUP(J114,'Factor Integración'!C$5:C$44,'Factor Integración'!G$5:G$44)),'Factor Integración'!$G$5)</f>
        <v>1.0452054794520547</v>
      </c>
      <c r="L114" s="125">
        <f>+IF(Q114&lt;&gt;0,LOOKUP(Q114,Tabulador!C$33:C$93,Tabulador!D$33:D$93),0)</f>
        <v>1299.5</v>
      </c>
      <c r="M114" s="127" t="str">
        <f>+IF(L114&gt;0,(LOOKUP(L114,Tabulador!E$33:E$93,Tabulador!F$33:F$93)),0)</f>
        <v>(UN MIL DOSCIENTOS CINCUENTA  PESOS  00/100 M.N.)</v>
      </c>
      <c r="N114" s="17">
        <f t="shared" ca="1" si="25"/>
        <v>194.03493150684929</v>
      </c>
      <c r="O114" s="59" t="s">
        <v>27</v>
      </c>
      <c r="P114" s="50" t="s">
        <v>207</v>
      </c>
      <c r="Q114" s="161">
        <v>6.3</v>
      </c>
      <c r="R114" s="93" t="s">
        <v>885</v>
      </c>
      <c r="S114" s="93" t="s">
        <v>886</v>
      </c>
      <c r="T114" s="130" t="s">
        <v>218</v>
      </c>
      <c r="U114" s="130"/>
      <c r="V114" s="106" t="s">
        <v>247</v>
      </c>
      <c r="W114" s="105" t="s">
        <v>248</v>
      </c>
      <c r="X114" s="138" t="s">
        <v>250</v>
      </c>
      <c r="Z114" s="2" t="s">
        <v>704</v>
      </c>
      <c r="AA114" s="2" t="s">
        <v>705</v>
      </c>
      <c r="AB114" s="2" t="s">
        <v>253</v>
      </c>
      <c r="AD114" s="15">
        <v>33709</v>
      </c>
      <c r="AF114" s="160">
        <f t="shared" si="26"/>
        <v>15</v>
      </c>
      <c r="AG114" s="160">
        <f t="shared" si="27"/>
        <v>4</v>
      </c>
      <c r="AH114" s="110">
        <v>23</v>
      </c>
      <c r="AJ114" s="2" t="s">
        <v>706</v>
      </c>
      <c r="AK114" s="2" t="s">
        <v>707</v>
      </c>
      <c r="AL114" s="2" t="s">
        <v>708</v>
      </c>
      <c r="AM114" s="2" t="s">
        <v>363</v>
      </c>
      <c r="AN114" s="2" t="s">
        <v>257</v>
      </c>
      <c r="AO114" s="2" t="s">
        <v>253</v>
      </c>
      <c r="AP114" s="180">
        <v>28180</v>
      </c>
      <c r="AR114" s="176">
        <v>3131126038</v>
      </c>
      <c r="AU114" s="2" t="s">
        <v>266</v>
      </c>
    </row>
    <row r="115" spans="1:63" x14ac:dyDescent="0.2">
      <c r="A115" s="173"/>
      <c r="B115" s="139">
        <v>42256</v>
      </c>
      <c r="C115" s="176">
        <f t="shared" si="28"/>
        <v>9</v>
      </c>
      <c r="D115" s="176">
        <f t="shared" si="29"/>
        <v>9</v>
      </c>
      <c r="E115" s="16" t="str">
        <f>+LOOKUP(D115,'Factor Integración'!$L$4:$L$15,'Factor Integración'!$M$4:$M$15)</f>
        <v>Septiembre</v>
      </c>
      <c r="F115" s="176">
        <f t="shared" si="30"/>
        <v>2015</v>
      </c>
      <c r="G115" s="114" t="s">
        <v>199</v>
      </c>
      <c r="H115" s="182">
        <f>+IF(Q115&gt;0,(LOOKUP(Q115,Tabulador!C$34:C$93,Tabulador!D$34:D$93)/7),0)</f>
        <v>142.80320000000003</v>
      </c>
      <c r="I115" s="40">
        <f t="shared" ca="1" si="23"/>
        <v>42256</v>
      </c>
      <c r="J115" s="42">
        <f t="shared" ca="1" si="24"/>
        <v>0</v>
      </c>
      <c r="K115" s="38">
        <f ca="1">+IF(J115&gt;0,(LOOKUP(J115,'Factor Integración'!C$5:C$44,'Factor Integración'!G$5:G$44)),'Factor Integración'!$G$5)</f>
        <v>1.0452054794520547</v>
      </c>
      <c r="L115" s="125">
        <f>+IF(Q115&lt;&gt;0,LOOKUP(Q115,Tabulador!C$33:C$93,Tabulador!D$33:D$93),0)</f>
        <v>999.6224000000002</v>
      </c>
      <c r="M115" s="127" t="str">
        <f>+IF(L115&gt;0,(LOOKUP(L115,Tabulador!E$33:E$93,Tabulador!F$33:F$93)),0)</f>
        <v>(NOVECIENTOS CINCUENTA  PESOS  00/100 M.N.)</v>
      </c>
      <c r="N115" s="17">
        <f t="shared" ca="1" si="25"/>
        <v>149.2586871232877</v>
      </c>
      <c r="O115" s="59" t="s">
        <v>27</v>
      </c>
      <c r="P115" s="50" t="s">
        <v>207</v>
      </c>
      <c r="Q115" s="161">
        <v>5.3</v>
      </c>
      <c r="R115" s="93" t="s">
        <v>881</v>
      </c>
      <c r="S115" s="93" t="s">
        <v>880</v>
      </c>
      <c r="T115" s="130" t="s">
        <v>212</v>
      </c>
      <c r="U115" s="130"/>
      <c r="V115" s="106" t="s">
        <v>247</v>
      </c>
      <c r="W115" s="105" t="s">
        <v>248</v>
      </c>
      <c r="X115" s="138" t="s">
        <v>298</v>
      </c>
      <c r="AD115" s="15">
        <v>35386</v>
      </c>
      <c r="AF115" s="160">
        <f t="shared" si="26"/>
        <v>17</v>
      </c>
      <c r="AG115" s="160">
        <f t="shared" si="27"/>
        <v>11</v>
      </c>
      <c r="AH115" s="110">
        <v>19</v>
      </c>
      <c r="AJ115" s="2" t="s">
        <v>785</v>
      </c>
      <c r="AK115" s="2" t="s">
        <v>786</v>
      </c>
      <c r="AL115" s="2" t="s">
        <v>787</v>
      </c>
      <c r="AM115" s="2" t="s">
        <v>788</v>
      </c>
      <c r="AN115" s="2" t="s">
        <v>257</v>
      </c>
      <c r="AO115" s="2" t="s">
        <v>253</v>
      </c>
      <c r="AR115" s="176">
        <v>3131189649</v>
      </c>
      <c r="AU115" s="2" t="s">
        <v>266</v>
      </c>
    </row>
    <row r="116" spans="1:63" x14ac:dyDescent="0.2">
      <c r="A116" s="163"/>
      <c r="B116" s="139">
        <v>41603</v>
      </c>
      <c r="C116" s="176">
        <f t="shared" si="28"/>
        <v>25</v>
      </c>
      <c r="D116" s="176">
        <f t="shared" si="29"/>
        <v>11</v>
      </c>
      <c r="E116" s="16" t="str">
        <f>+LOOKUP(D116,'Factor Integración'!$L$4:$L$15,'Factor Integración'!$M$4:$M$15)</f>
        <v>Noviembre</v>
      </c>
      <c r="F116" s="176">
        <f t="shared" si="30"/>
        <v>2013</v>
      </c>
      <c r="G116" s="112" t="s">
        <v>200</v>
      </c>
      <c r="H116" s="182">
        <f>+IF(Q116&gt;0,(LOOKUP(Q116,Tabulador!C$34:C$93,Tabulador!D$34:D$93)/7),0)</f>
        <v>42.857142857142854</v>
      </c>
      <c r="I116" s="40">
        <f t="shared" ca="1" si="23"/>
        <v>42333</v>
      </c>
      <c r="J116" s="42">
        <f t="shared" ca="1" si="24"/>
        <v>2</v>
      </c>
      <c r="K116" s="38">
        <f ca="1">+IF(J116&gt;0,(LOOKUP(J116,'Factor Integración'!C$5:C$44,'Factor Integración'!G$5:G$44)),'Factor Integración'!$G$5)</f>
        <v>1.0465753424657533</v>
      </c>
      <c r="L116" s="125">
        <f>+IF(Q116&lt;&gt;0,LOOKUP(Q116,Tabulador!C$33:C$93,Tabulador!D$33:D$93),0)</f>
        <v>300</v>
      </c>
      <c r="M116" s="127" t="str">
        <f>+IF(L116&gt;0,(LOOKUP(L116,Tabulador!E$33:E$93,Tabulador!F$33:F$93)),0)</f>
        <v>(TRESCIENTOS  PESOS  00/100 M.N.)</v>
      </c>
      <c r="N116" s="17">
        <f t="shared" ca="1" si="25"/>
        <v>44.853228962817994</v>
      </c>
      <c r="O116" s="59" t="s">
        <v>27</v>
      </c>
      <c r="P116" s="50" t="s">
        <v>207</v>
      </c>
      <c r="Q116" s="161">
        <v>2.1</v>
      </c>
      <c r="R116" s="93" t="s">
        <v>881</v>
      </c>
      <c r="S116" s="93" t="s">
        <v>880</v>
      </c>
      <c r="T116" s="128" t="s">
        <v>212</v>
      </c>
      <c r="U116" s="128" t="s">
        <v>789</v>
      </c>
      <c r="V116" s="106" t="s">
        <v>247</v>
      </c>
      <c r="W116" s="105" t="s">
        <v>248</v>
      </c>
      <c r="X116" s="138" t="s">
        <v>298</v>
      </c>
      <c r="Z116" s="2" t="s">
        <v>790</v>
      </c>
      <c r="AA116" s="2" t="s">
        <v>791</v>
      </c>
      <c r="AB116" s="2" t="s">
        <v>253</v>
      </c>
      <c r="AD116" s="15">
        <v>36176</v>
      </c>
      <c r="AF116" s="160">
        <f t="shared" si="26"/>
        <v>16</v>
      </c>
      <c r="AG116" s="160">
        <f t="shared" si="27"/>
        <v>1</v>
      </c>
      <c r="AH116" s="110">
        <v>16</v>
      </c>
      <c r="AL116" s="2" t="s">
        <v>927</v>
      </c>
      <c r="AM116" s="2" t="s">
        <v>792</v>
      </c>
      <c r="AN116" s="2" t="s">
        <v>257</v>
      </c>
      <c r="AO116" s="2" t="s">
        <v>253</v>
      </c>
      <c r="AU116" s="2" t="s">
        <v>266</v>
      </c>
    </row>
    <row r="117" spans="1:63" x14ac:dyDescent="0.2">
      <c r="A117" s="173"/>
      <c r="B117" s="139">
        <v>42287</v>
      </c>
      <c r="C117" s="176">
        <f t="shared" si="28"/>
        <v>10</v>
      </c>
      <c r="D117" s="176">
        <f t="shared" si="29"/>
        <v>10</v>
      </c>
      <c r="E117" s="16" t="str">
        <f>+LOOKUP(D117,'Factor Integración'!$L$4:$L$15,'Factor Integración'!$M$4:$M$15)</f>
        <v>Octubre</v>
      </c>
      <c r="F117" s="176">
        <f t="shared" si="30"/>
        <v>2015</v>
      </c>
      <c r="G117" s="114" t="s">
        <v>201</v>
      </c>
      <c r="H117" s="182">
        <f>+IF(Q117&gt;0,(LOOKUP(Q117,Tabulador!C$34:C$93,Tabulador!D$34:D$93)/7),0)</f>
        <v>178.57142857142858</v>
      </c>
      <c r="I117" s="40">
        <f t="shared" ca="1" si="23"/>
        <v>42287</v>
      </c>
      <c r="J117" s="42">
        <f t="shared" ca="1" si="24"/>
        <v>0</v>
      </c>
      <c r="K117" s="38">
        <f ca="1">+IF(J117&gt;0,(LOOKUP(J117,'Factor Integración'!C$5:C$44,'Factor Integración'!G$5:G$44)),'Factor Integración'!$G$5)</f>
        <v>1.0452054794520547</v>
      </c>
      <c r="L117" s="125">
        <f>+IF(Q117&lt;&gt;0,LOOKUP(Q117,Tabulador!C$33:C$93,Tabulador!D$33:D$93),0)</f>
        <v>1250</v>
      </c>
      <c r="M117" s="127" t="str">
        <f>+IF(L117&gt;0,(LOOKUP(L117,Tabulador!E$33:E$93,Tabulador!F$33:F$93)),0)</f>
        <v>(UN MIL DOSCIENTOS CINCUENTA  PESOS  00/100 M.N.)</v>
      </c>
      <c r="N117" s="17">
        <f t="shared" ca="1" si="25"/>
        <v>186.64383561643834</v>
      </c>
      <c r="O117" s="59" t="s">
        <v>27</v>
      </c>
      <c r="P117" s="50" t="s">
        <v>207</v>
      </c>
      <c r="Q117" s="161">
        <v>6.2</v>
      </c>
      <c r="R117" s="93" t="s">
        <v>881</v>
      </c>
      <c r="S117" s="93" t="s">
        <v>880</v>
      </c>
      <c r="T117" s="130" t="s">
        <v>212</v>
      </c>
      <c r="U117" s="130"/>
      <c r="V117" s="106" t="s">
        <v>247</v>
      </c>
      <c r="W117" s="105" t="s">
        <v>248</v>
      </c>
      <c r="X117" s="138" t="s">
        <v>298</v>
      </c>
      <c r="Y117" s="180">
        <v>11956906504</v>
      </c>
      <c r="Z117" s="2" t="s">
        <v>802</v>
      </c>
      <c r="AA117" s="2" t="s">
        <v>803</v>
      </c>
      <c r="AB117" s="2" t="s">
        <v>253</v>
      </c>
      <c r="AD117" s="15">
        <v>25556</v>
      </c>
      <c r="AF117" s="160">
        <f t="shared" si="26"/>
        <v>19</v>
      </c>
      <c r="AG117" s="160">
        <f t="shared" si="27"/>
        <v>12</v>
      </c>
      <c r="AH117" s="110">
        <v>46</v>
      </c>
      <c r="AJ117" s="2" t="s">
        <v>804</v>
      </c>
      <c r="AK117" s="2" t="s">
        <v>805</v>
      </c>
      <c r="AL117" s="2" t="s">
        <v>806</v>
      </c>
      <c r="AM117" s="2" t="s">
        <v>807</v>
      </c>
      <c r="AN117" s="2" t="s">
        <v>257</v>
      </c>
      <c r="AO117" s="2" t="s">
        <v>253</v>
      </c>
      <c r="AP117" s="180">
        <v>28910</v>
      </c>
      <c r="AR117" s="176">
        <v>3137309660</v>
      </c>
      <c r="AU117" s="2" t="s">
        <v>258</v>
      </c>
      <c r="AV117" s="2" t="s">
        <v>808</v>
      </c>
    </row>
    <row r="118" spans="1:63" x14ac:dyDescent="0.2">
      <c r="A118" s="162" t="s">
        <v>939</v>
      </c>
      <c r="B118" s="145">
        <v>42307</v>
      </c>
      <c r="C118" s="176">
        <f t="shared" si="28"/>
        <v>30</v>
      </c>
      <c r="D118" s="176">
        <f t="shared" si="29"/>
        <v>10</v>
      </c>
      <c r="E118" s="16" t="str">
        <f>+LOOKUP(D118,'Factor Integración'!$L$4:$L$15,'Factor Integración'!$M$4:$M$15)</f>
        <v>Octubre</v>
      </c>
      <c r="F118" s="176">
        <f t="shared" si="30"/>
        <v>2015</v>
      </c>
      <c r="G118" s="114" t="s">
        <v>202</v>
      </c>
      <c r="H118" s="182">
        <f>+IF(Q118&gt;0,(LOOKUP(Q118,Tabulador!C$34:C$93,Tabulador!D$34:D$93)/7),0)</f>
        <v>157.08589348571431</v>
      </c>
      <c r="I118" s="40">
        <f t="shared" ca="1" si="23"/>
        <v>42307</v>
      </c>
      <c r="J118" s="42">
        <f t="shared" ca="1" si="24"/>
        <v>0</v>
      </c>
      <c r="K118" s="38">
        <f ca="1">+IF(J118&gt;0,(LOOKUP(J118,'Factor Integración'!C$5:C$44,'Factor Integración'!G$5:G$44)),'Factor Integración'!$G$5)</f>
        <v>1.0452054794520547</v>
      </c>
      <c r="L118" s="125">
        <f>+IF(Q118&lt;&gt;0,LOOKUP(Q118,Tabulador!C$33:C$93,Tabulador!D$33:D$93),0)</f>
        <v>1099.6012544000002</v>
      </c>
      <c r="M118" s="127" t="str">
        <f>+IF(L118&gt;0,(LOOKUP(L118,Tabulador!E$33:E$93,Tabulador!F$33:F$93)),0)</f>
        <v>(UN MIL  PESOS  00/100 M.N.)</v>
      </c>
      <c r="N118" s="17">
        <f t="shared" ca="1" si="25"/>
        <v>164.18703661589041</v>
      </c>
      <c r="O118" s="59" t="s">
        <v>27</v>
      </c>
      <c r="P118" s="50" t="s">
        <v>207</v>
      </c>
      <c r="Q118" s="161">
        <v>5.4</v>
      </c>
      <c r="R118" s="93" t="s">
        <v>881</v>
      </c>
      <c r="S118" s="93" t="s">
        <v>880</v>
      </c>
      <c r="T118" s="130" t="s">
        <v>212</v>
      </c>
      <c r="U118" s="130"/>
      <c r="V118" s="106" t="s">
        <v>247</v>
      </c>
      <c r="W118" s="105" t="s">
        <v>248</v>
      </c>
      <c r="X118" s="138" t="s">
        <v>298</v>
      </c>
      <c r="AF118" s="160">
        <f t="shared" si="26"/>
        <v>0</v>
      </c>
      <c r="AG118" s="160">
        <f t="shared" si="27"/>
        <v>1</v>
      </c>
    </row>
    <row r="119" spans="1:63" x14ac:dyDescent="0.2">
      <c r="A119" s="173"/>
      <c r="B119" s="139">
        <v>42314</v>
      </c>
      <c r="C119" s="176">
        <f t="shared" si="28"/>
        <v>6</v>
      </c>
      <c r="D119" s="176">
        <f t="shared" si="29"/>
        <v>11</v>
      </c>
      <c r="E119" s="16" t="str">
        <f>+LOOKUP(D119,'Factor Integración'!$L$4:$L$15,'Factor Integración'!$M$4:$M$15)</f>
        <v>Noviembre</v>
      </c>
      <c r="F119" s="176">
        <f t="shared" si="30"/>
        <v>2015</v>
      </c>
      <c r="G119" s="114" t="s">
        <v>856</v>
      </c>
      <c r="H119" s="182">
        <f>+IF(Q119&gt;0,(LOOKUP(Q119,Tabulador!C$34:C$93,Tabulador!D$34:D$93)/7),0)</f>
        <v>357.14285714285717</v>
      </c>
      <c r="I119" s="40">
        <f t="shared" ca="1" si="23"/>
        <v>42314</v>
      </c>
      <c r="J119" s="42">
        <f t="shared" ca="1" si="24"/>
        <v>0</v>
      </c>
      <c r="K119" s="38">
        <f ca="1">+IF(J119&gt;0,(LOOKUP(J119,'Factor Integración'!C$5:C$44,'Factor Integración'!G$5:G$44)),'Factor Integración'!$G$5)</f>
        <v>1.0452054794520547</v>
      </c>
      <c r="L119" s="125">
        <f>+IF(Q119&lt;&gt;0,LOOKUP(Q119,Tabulador!C$33:C$93,Tabulador!D$33:D$93),0)</f>
        <v>2500</v>
      </c>
      <c r="M119" s="127" t="str">
        <f>+IF(L119&gt;0,(LOOKUP(L119,Tabulador!E$33:E$93,Tabulador!F$33:F$93)),0)</f>
        <v>(DOS MIL QUINIENTOS  PESOS  00/100 M.N.)</v>
      </c>
      <c r="N119" s="17">
        <f t="shared" ca="1" si="25"/>
        <v>373.28767123287668</v>
      </c>
      <c r="O119" s="59" t="s">
        <v>27</v>
      </c>
      <c r="P119" s="50" t="s">
        <v>207</v>
      </c>
      <c r="Q119" s="161">
        <v>10.199999999999999</v>
      </c>
      <c r="R119" s="93" t="s">
        <v>885</v>
      </c>
      <c r="S119" s="93" t="s">
        <v>886</v>
      </c>
      <c r="T119" s="130" t="s">
        <v>863</v>
      </c>
      <c r="U119" s="130" t="s">
        <v>864</v>
      </c>
      <c r="V119" s="106" t="s">
        <v>247</v>
      </c>
      <c r="W119" s="105" t="s">
        <v>248</v>
      </c>
      <c r="X119" s="138" t="s">
        <v>298</v>
      </c>
      <c r="Z119" s="2" t="s">
        <v>857</v>
      </c>
      <c r="AA119" s="2" t="s">
        <v>858</v>
      </c>
      <c r="AB119" s="2" t="s">
        <v>253</v>
      </c>
      <c r="AD119" s="139">
        <v>30686</v>
      </c>
      <c r="AF119" s="160">
        <f t="shared" si="26"/>
        <v>5</v>
      </c>
      <c r="AG119" s="160">
        <f t="shared" si="27"/>
        <v>1</v>
      </c>
      <c r="AH119" s="110">
        <v>31</v>
      </c>
      <c r="AJ119" s="2" t="s">
        <v>859</v>
      </c>
      <c r="AK119" s="2" t="s">
        <v>860</v>
      </c>
      <c r="AL119" s="2" t="s">
        <v>861</v>
      </c>
      <c r="AM119" s="2" t="s">
        <v>871</v>
      </c>
      <c r="AN119" s="2" t="s">
        <v>253</v>
      </c>
      <c r="AO119" s="2" t="s">
        <v>253</v>
      </c>
      <c r="AP119" s="180">
        <v>28947</v>
      </c>
      <c r="AR119" s="176">
        <v>3125940473</v>
      </c>
      <c r="AU119" s="2" t="s">
        <v>266</v>
      </c>
      <c r="AY119" s="107">
        <v>42314</v>
      </c>
      <c r="BD119" s="180">
        <v>90</v>
      </c>
      <c r="BE119" s="107">
        <v>42405</v>
      </c>
    </row>
    <row r="120" spans="1:63" x14ac:dyDescent="0.2">
      <c r="A120" s="173"/>
      <c r="B120" s="139">
        <v>42314</v>
      </c>
      <c r="C120" s="176">
        <f t="shared" si="28"/>
        <v>6</v>
      </c>
      <c r="D120" s="176">
        <f t="shared" si="29"/>
        <v>11</v>
      </c>
      <c r="E120" s="16" t="str">
        <f>+LOOKUP(D120,'Factor Integración'!$L$4:$L$15,'Factor Integración'!$M$4:$M$15)</f>
        <v>Noviembre</v>
      </c>
      <c r="F120" s="176">
        <f t="shared" si="30"/>
        <v>2015</v>
      </c>
      <c r="G120" s="114" t="s">
        <v>862</v>
      </c>
      <c r="H120" s="182">
        <f>+IF(Q120&gt;0,(LOOKUP(Q120,Tabulador!C$34:C$93,Tabulador!D$34:D$93)/7),0)</f>
        <v>214.21428571428572</v>
      </c>
      <c r="I120" s="40">
        <f t="shared" ca="1" si="23"/>
        <v>42314</v>
      </c>
      <c r="J120" s="42">
        <f t="shared" ca="1" si="24"/>
        <v>0</v>
      </c>
      <c r="K120" s="38">
        <f ca="1">+IF(J120&gt;0,(LOOKUP(J120,'Factor Integración'!C$5:C$44,'Factor Integración'!G$5:G$44)),'Factor Integración'!$G$5)</f>
        <v>1.0452054794520547</v>
      </c>
      <c r="L120" s="125">
        <f>+IF(Q120&lt;&gt;0,LOOKUP(Q120,Tabulador!C$33:C$93,Tabulador!D$33:D$93),0)</f>
        <v>1499.5</v>
      </c>
      <c r="M120" s="127" t="str">
        <f>+Tabulador!F60</f>
        <v>(UN MIL QUINIENTOS  PESOS  00/100 M.N.)</v>
      </c>
      <c r="N120" s="17">
        <f t="shared" ca="1" si="25"/>
        <v>223.89794520547943</v>
      </c>
      <c r="O120" s="59" t="s">
        <v>27</v>
      </c>
      <c r="P120" s="50" t="s">
        <v>207</v>
      </c>
      <c r="Q120" s="161">
        <v>7.3</v>
      </c>
      <c r="R120" s="143" t="s">
        <v>149</v>
      </c>
      <c r="S120" s="93" t="s">
        <v>879</v>
      </c>
      <c r="T120" s="142" t="s">
        <v>219</v>
      </c>
      <c r="U120" s="130" t="s">
        <v>865</v>
      </c>
      <c r="V120" s="106" t="s">
        <v>247</v>
      </c>
      <c r="W120" s="105" t="s">
        <v>248</v>
      </c>
      <c r="X120" s="138" t="s">
        <v>298</v>
      </c>
      <c r="Y120" s="180">
        <v>52129102431</v>
      </c>
      <c r="Z120" s="2" t="s">
        <v>866</v>
      </c>
      <c r="AA120" s="2" t="s">
        <v>867</v>
      </c>
      <c r="AB120" s="2" t="s">
        <v>253</v>
      </c>
      <c r="AD120" s="15">
        <v>33325</v>
      </c>
      <c r="AF120" s="160">
        <f t="shared" si="26"/>
        <v>28</v>
      </c>
      <c r="AG120" s="160">
        <f t="shared" si="27"/>
        <v>3</v>
      </c>
      <c r="AH120" s="110">
        <v>24</v>
      </c>
      <c r="AJ120" s="2" t="s">
        <v>868</v>
      </c>
      <c r="AK120" s="2" t="s">
        <v>869</v>
      </c>
      <c r="AL120" s="2" t="s">
        <v>870</v>
      </c>
      <c r="AM120" s="2" t="s">
        <v>747</v>
      </c>
      <c r="AN120" s="2" t="s">
        <v>748</v>
      </c>
      <c r="AO120" s="2" t="s">
        <v>253</v>
      </c>
      <c r="AR120" s="176">
        <v>3121206807</v>
      </c>
      <c r="AU120" s="2" t="s">
        <v>266</v>
      </c>
      <c r="AY120" s="107">
        <v>42314</v>
      </c>
      <c r="BD120" s="180">
        <v>90</v>
      </c>
      <c r="BE120" s="107">
        <v>42405</v>
      </c>
    </row>
    <row r="121" spans="1:63" x14ac:dyDescent="0.2">
      <c r="A121" s="162" t="s">
        <v>939</v>
      </c>
      <c r="B121" s="145">
        <v>42315</v>
      </c>
      <c r="C121" s="176">
        <f t="shared" si="28"/>
        <v>7</v>
      </c>
      <c r="D121" s="176">
        <f t="shared" si="29"/>
        <v>11</v>
      </c>
      <c r="E121" s="16" t="str">
        <f>+LOOKUP(D121,'Factor Integración'!$L$4:$L$15,'Factor Integración'!$M$4:$M$15)</f>
        <v>Noviembre</v>
      </c>
      <c r="F121" s="176">
        <f t="shared" si="30"/>
        <v>2015</v>
      </c>
      <c r="G121" s="114" t="s">
        <v>872</v>
      </c>
      <c r="H121" s="182">
        <f>+IF(Q121&gt;0,(LOOKUP(Q121,Tabulador!C$34:C$93,Tabulador!D$34:D$93)/7),0)</f>
        <v>128.57142857142858</v>
      </c>
      <c r="I121" s="40">
        <f t="shared" ca="1" si="23"/>
        <v>42315</v>
      </c>
      <c r="J121" s="42">
        <f t="shared" ca="1" si="24"/>
        <v>0</v>
      </c>
      <c r="K121" s="38">
        <f ca="1">+IF(J121&gt;0,(LOOKUP(J121,'Factor Integración'!C$5:C$44,'Factor Integración'!G$5:G$44)),'Factor Integración'!$G$5)</f>
        <v>1.0452054794520547</v>
      </c>
      <c r="L121" s="125">
        <f>+IF(Q121&lt;&gt;0,LOOKUP(Q121,Tabulador!C$33:C$93,Tabulador!D$33:D$93),0)</f>
        <v>900</v>
      </c>
      <c r="M121" s="127" t="str">
        <f>+IF(L121&gt;0,(LOOKUP(L121,Tabulador!E$33:E$93,Tabulador!F$33:F$93)),0)</f>
        <v>(NOVECIENTOS  PESOS  00/100 M.N.)</v>
      </c>
      <c r="N121" s="17">
        <f t="shared" ca="1" si="25"/>
        <v>134.38356164383561</v>
      </c>
      <c r="O121" s="59" t="s">
        <v>27</v>
      </c>
      <c r="P121" s="50" t="s">
        <v>207</v>
      </c>
      <c r="Q121" s="161">
        <v>5.0999999999999996</v>
      </c>
      <c r="R121" s="93" t="s">
        <v>881</v>
      </c>
      <c r="S121" s="93" t="s">
        <v>880</v>
      </c>
      <c r="T121" s="130" t="s">
        <v>212</v>
      </c>
      <c r="U121" s="130" t="s">
        <v>227</v>
      </c>
      <c r="V121" s="106" t="s">
        <v>247</v>
      </c>
      <c r="W121" s="105" t="s">
        <v>248</v>
      </c>
      <c r="X121" s="138" t="s">
        <v>298</v>
      </c>
      <c r="AD121" s="15">
        <v>35349</v>
      </c>
      <c r="AF121" s="160">
        <f t="shared" si="26"/>
        <v>11</v>
      </c>
      <c r="AG121" s="160">
        <f t="shared" si="27"/>
        <v>10</v>
      </c>
      <c r="AH121" s="110">
        <v>19</v>
      </c>
      <c r="AJ121" s="2" t="s">
        <v>873</v>
      </c>
      <c r="AK121" s="2" t="s">
        <v>874</v>
      </c>
      <c r="AL121" s="2" t="s">
        <v>875</v>
      </c>
      <c r="AN121" s="2" t="s">
        <v>257</v>
      </c>
      <c r="AO121" s="2" t="s">
        <v>253</v>
      </c>
      <c r="AR121" s="176">
        <v>3131154008</v>
      </c>
      <c r="AU121" s="2" t="s">
        <v>266</v>
      </c>
    </row>
    <row r="122" spans="1:63" x14ac:dyDescent="0.2">
      <c r="C122" s="176">
        <f t="shared" si="28"/>
        <v>0</v>
      </c>
      <c r="D122" s="176">
        <f t="shared" si="29"/>
        <v>1</v>
      </c>
      <c r="E122" s="16" t="str">
        <f>+LOOKUP(D122,'Factor Integración'!$L$4:$L$15,'Factor Integración'!$M$4:$M$15)</f>
        <v>Enero</v>
      </c>
      <c r="F122" s="176">
        <f t="shared" si="30"/>
        <v>1900</v>
      </c>
      <c r="G122" s="120" t="s">
        <v>203</v>
      </c>
      <c r="H122" s="182">
        <f>+IF(Q122&gt;0,(LOOKUP(Q122,Tabulador!C$34:C$93,Tabulador!D$34:D$93)/7),0)</f>
        <v>185.64285714285714</v>
      </c>
      <c r="I122" s="40" t="str">
        <f t="shared" ca="1" si="23"/>
        <v/>
      </c>
      <c r="J122" s="42">
        <f t="shared" ca="1" si="24"/>
        <v>0</v>
      </c>
      <c r="K122" s="38">
        <f ca="1">+IF(J122&gt;0,(LOOKUP(J122,'Factor Integración'!C$5:C$44,'Factor Integración'!G$5:G$44)),'Factor Integración'!$G$5)</f>
        <v>1.0452054794520547</v>
      </c>
      <c r="L122" s="125">
        <f>+IF(Q122&lt;&gt;0,LOOKUP(Q122,Tabulador!C$33:C$93,Tabulador!D$33:D$93),0)</f>
        <v>1299.5</v>
      </c>
      <c r="M122" s="127" t="str">
        <f>+IF(L122&gt;0,(LOOKUP(L122,Tabulador!E$33:E$93,Tabulador!F$33:F$93)),0)</f>
        <v>(UN MIL DOSCIENTOS CINCUENTA  PESOS  00/100 M.N.)</v>
      </c>
      <c r="N122" s="17">
        <f t="shared" ca="1" si="25"/>
        <v>194.03493150684929</v>
      </c>
      <c r="O122" s="59" t="s">
        <v>27</v>
      </c>
      <c r="P122" s="50" t="s">
        <v>207</v>
      </c>
      <c r="Q122" s="161">
        <v>6.3</v>
      </c>
      <c r="R122" s="93" t="s">
        <v>885</v>
      </c>
      <c r="S122" s="93" t="s">
        <v>886</v>
      </c>
      <c r="T122" s="136" t="s">
        <v>220</v>
      </c>
      <c r="U122" s="136"/>
      <c r="V122" s="106" t="s">
        <v>247</v>
      </c>
      <c r="W122" s="105" t="s">
        <v>248</v>
      </c>
      <c r="AF122" s="162">
        <f t="shared" ref="AF122:AF124" si="31">+DAY(AE122)</f>
        <v>0</v>
      </c>
      <c r="AG122" s="162">
        <v>0</v>
      </c>
    </row>
    <row r="123" spans="1:63" x14ac:dyDescent="0.2">
      <c r="C123" s="176">
        <f t="shared" si="28"/>
        <v>0</v>
      </c>
      <c r="D123" s="176">
        <f t="shared" si="29"/>
        <v>1</v>
      </c>
      <c r="E123" s="16" t="str">
        <f>+LOOKUP(D123,'Factor Integración'!$L$4:$L$15,'Factor Integración'!$M$4:$M$15)</f>
        <v>Enero</v>
      </c>
      <c r="F123" s="176">
        <f t="shared" si="30"/>
        <v>1900</v>
      </c>
      <c r="G123" s="120" t="s">
        <v>204</v>
      </c>
      <c r="H123" s="182">
        <f>+IF(Q123&gt;0,(LOOKUP(Q123,Tabulador!C$34:C$93,Tabulador!D$34:D$93)/7),0)</f>
        <v>185.64285714285714</v>
      </c>
      <c r="I123" s="40" t="str">
        <f t="shared" ca="1" si="23"/>
        <v/>
      </c>
      <c r="J123" s="42">
        <f t="shared" ca="1" si="24"/>
        <v>0</v>
      </c>
      <c r="K123" s="38">
        <f ca="1">+IF(J123&gt;0,(LOOKUP(J123,'Factor Integración'!C$5:C$44,'Factor Integración'!G$5:G$44)),'Factor Integración'!$G$5)</f>
        <v>1.0452054794520547</v>
      </c>
      <c r="L123" s="125">
        <f>+IF(Q123&lt;&gt;0,LOOKUP(Q123,Tabulador!C$33:C$93,Tabulador!D$33:D$93),0)</f>
        <v>1299.5</v>
      </c>
      <c r="M123" s="127" t="str">
        <f>+IF(L123&gt;0,(LOOKUP(L123,Tabulador!E$33:E$93,Tabulador!F$33:F$93)),0)</f>
        <v>(UN MIL DOSCIENTOS CINCUENTA  PESOS  00/100 M.N.)</v>
      </c>
      <c r="N123" s="17">
        <f t="shared" ca="1" si="25"/>
        <v>194.03493150684929</v>
      </c>
      <c r="O123" s="59" t="s">
        <v>27</v>
      </c>
      <c r="P123" s="50" t="s">
        <v>207</v>
      </c>
      <c r="Q123" s="161">
        <v>6.3</v>
      </c>
      <c r="R123" s="93" t="s">
        <v>885</v>
      </c>
      <c r="S123" s="93" t="s">
        <v>886</v>
      </c>
      <c r="T123" s="136" t="s">
        <v>220</v>
      </c>
      <c r="U123" s="136"/>
      <c r="V123" s="106" t="s">
        <v>247</v>
      </c>
      <c r="W123" s="105" t="s">
        <v>248</v>
      </c>
      <c r="AF123" s="162">
        <f t="shared" si="31"/>
        <v>0</v>
      </c>
      <c r="AG123" s="162">
        <v>0</v>
      </c>
    </row>
    <row r="124" spans="1:63" x14ac:dyDescent="0.2">
      <c r="C124" s="176">
        <f t="shared" si="28"/>
        <v>0</v>
      </c>
      <c r="D124" s="176">
        <f t="shared" si="29"/>
        <v>1</v>
      </c>
      <c r="E124" s="16" t="str">
        <f>+LOOKUP(D124,'Factor Integración'!$L$4:$L$15,'Factor Integración'!$M$4:$M$15)</f>
        <v>Enero</v>
      </c>
      <c r="F124" s="176">
        <f t="shared" si="30"/>
        <v>1900</v>
      </c>
      <c r="G124" s="120" t="s">
        <v>205</v>
      </c>
      <c r="H124" s="182">
        <f>+IF(Q124&gt;0,(LOOKUP(Q124,Tabulador!C$34:C$93,Tabulador!D$34:D$93)/7),0)</f>
        <v>314.28571428571428</v>
      </c>
      <c r="I124" s="40" t="str">
        <f t="shared" ca="1" si="23"/>
        <v/>
      </c>
      <c r="J124" s="42">
        <f t="shared" ca="1" si="24"/>
        <v>0</v>
      </c>
      <c r="K124" s="38">
        <f ca="1">+IF(J124&gt;0,(LOOKUP(J124,'Factor Integración'!C$5:C$44,'Factor Integración'!G$5:G$44)),'Factor Integración'!$G$5)</f>
        <v>1.0452054794520547</v>
      </c>
      <c r="L124" s="125">
        <f>+IF(Q124&lt;&gt;0,LOOKUP(Q124,Tabulador!C$33:C$93,Tabulador!D$33:D$93),0)</f>
        <v>2200</v>
      </c>
      <c r="M124" s="127" t="str">
        <f>+IF(L124&gt;0,(LOOKUP(L124,Tabulador!E$33:E$93,Tabulador!F$33:F$93)),0)</f>
        <v>(DOS MIL DOSCIENTOS  PESOS  00/100 M.N.)</v>
      </c>
      <c r="N124" s="17">
        <f t="shared" ca="1" si="25"/>
        <v>328.49315068493144</v>
      </c>
      <c r="O124" s="59" t="s">
        <v>27</v>
      </c>
      <c r="P124" s="50" t="s">
        <v>207</v>
      </c>
      <c r="Q124" s="161">
        <v>9.3000000000000007</v>
      </c>
      <c r="R124" s="93" t="s">
        <v>885</v>
      </c>
      <c r="S124" s="93" t="s">
        <v>886</v>
      </c>
      <c r="T124" s="136" t="s">
        <v>220</v>
      </c>
      <c r="U124" s="136"/>
      <c r="V124" s="106" t="s">
        <v>247</v>
      </c>
      <c r="W124" s="105" t="s">
        <v>248</v>
      </c>
      <c r="AF124" s="162">
        <f t="shared" si="31"/>
        <v>0</v>
      </c>
      <c r="AG124" s="162">
        <v>0</v>
      </c>
    </row>
    <row r="125" spans="1:63" x14ac:dyDescent="0.2">
      <c r="A125" s="173"/>
      <c r="B125" s="15">
        <v>42292</v>
      </c>
      <c r="C125" s="176">
        <f t="shared" ref="C125:C160" si="32">+DAY(B125)</f>
        <v>15</v>
      </c>
      <c r="D125" s="176">
        <f t="shared" ref="D125:D160" si="33">+MONTH(B125)</f>
        <v>10</v>
      </c>
      <c r="E125" s="16" t="str">
        <f>+LOOKUP(D125,'Factor Integración'!$L$4:$L$15,'Factor Integración'!$M$4:$M$15)</f>
        <v>Octubre</v>
      </c>
      <c r="F125" s="176">
        <f t="shared" ref="F125:F160" si="34">+YEAR(B125)</f>
        <v>2015</v>
      </c>
      <c r="G125" s="2" t="s">
        <v>896</v>
      </c>
      <c r="H125" s="182">
        <f>+IF(Q125&gt;0,(LOOKUP(Q125,Tabulador!C$34:C$93,Tabulador!D$34:D$93)/7),0)</f>
        <v>371.42857142857144</v>
      </c>
      <c r="I125" s="40">
        <f t="shared" ca="1" si="23"/>
        <v>42292</v>
      </c>
      <c r="J125" s="42">
        <f t="shared" ref="J125:J133" ca="1" si="35">IF(I125&lt;=(TODAY()),DAYS360(B125,I125)/360,0)</f>
        <v>0</v>
      </c>
      <c r="K125" s="38">
        <f ca="1">+IF(J125&gt;0,(LOOKUP(J125,'Factor Integración'!C$5:C$44,'Factor Integración'!G$5:G$44)),'Factor Integración'!$G$5)</f>
        <v>1.0452054794520547</v>
      </c>
      <c r="L125" s="125">
        <f>+IF(Q125&lt;&gt;0,LOOKUP(Q125,Tabulador!C$33:C$93,Tabulador!D$33:D$93),0)</f>
        <v>2600</v>
      </c>
      <c r="M125" s="127" t="str">
        <f>+IF(L125&gt;0,(LOOKUP(L125,Tabulador!E$33:E$93,Tabulador!F$33:F$93)),0)</f>
        <v>(DOS MIL SEISCIENTOS  PESOS  00/100 M.N.)</v>
      </c>
      <c r="N125" s="17">
        <f t="shared" ca="1" si="25"/>
        <v>388.21917808219177</v>
      </c>
      <c r="O125" s="59" t="s">
        <v>27</v>
      </c>
      <c r="P125" s="50" t="s">
        <v>207</v>
      </c>
      <c r="Q125" s="161">
        <v>10.3</v>
      </c>
      <c r="T125" s="128" t="s">
        <v>938</v>
      </c>
      <c r="AD125" s="15">
        <v>33905</v>
      </c>
      <c r="AL125" s="2" t="s">
        <v>897</v>
      </c>
      <c r="AM125" s="2" t="s">
        <v>898</v>
      </c>
      <c r="AN125" s="2" t="s">
        <v>257</v>
      </c>
      <c r="AO125" s="2" t="s">
        <v>253</v>
      </c>
      <c r="AP125" s="180">
        <v>28100</v>
      </c>
      <c r="AQ125" s="162">
        <v>3243491</v>
      </c>
      <c r="AR125" s="176">
        <v>3131390477</v>
      </c>
      <c r="AS125" s="1" t="s">
        <v>899</v>
      </c>
    </row>
    <row r="126" spans="1:63" x14ac:dyDescent="0.2">
      <c r="A126" s="173"/>
      <c r="B126" s="15">
        <v>42341</v>
      </c>
      <c r="C126" s="176">
        <f t="shared" si="32"/>
        <v>3</v>
      </c>
      <c r="D126" s="176">
        <f t="shared" si="33"/>
        <v>12</v>
      </c>
      <c r="E126" s="16" t="str">
        <f>+LOOKUP(D126,'Factor Integración'!$L$4:$L$15,'Factor Integración'!$M$4:$M$15)</f>
        <v>Diciembre</v>
      </c>
      <c r="F126" s="176">
        <f t="shared" si="34"/>
        <v>2015</v>
      </c>
      <c r="G126" s="2" t="s">
        <v>900</v>
      </c>
      <c r="H126" s="182">
        <f>+IF(Q126&gt;0,(LOOKUP(Q126,Tabulador!C$34:C$93,Tabulador!D$34:D$93)/7),0)</f>
        <v>357.14285714285717</v>
      </c>
      <c r="I126" s="40">
        <f t="shared" ca="1" si="23"/>
        <v>42341</v>
      </c>
      <c r="J126" s="42">
        <f t="shared" ca="1" si="35"/>
        <v>0</v>
      </c>
      <c r="K126" s="38">
        <f ca="1">+IF(J126&gt;0,(LOOKUP(J126,'Factor Integración'!C$5:C$44,'Factor Integración'!G$5:G$44)),'Factor Integración'!$G$5)</f>
        <v>1.0452054794520547</v>
      </c>
      <c r="L126" s="125">
        <f>+IF(Q126&lt;&gt;0,LOOKUP(Q126,Tabulador!C$33:C$93,Tabulador!D$33:D$93),0)</f>
        <v>2500</v>
      </c>
      <c r="M126" s="127" t="str">
        <f>+IF(L126&gt;0,(LOOKUP(L126,Tabulador!E$33:E$93,Tabulador!F$33:F$93)),0)</f>
        <v>(DOS MIL QUINIENTOS  PESOS  00/100 M.N.)</v>
      </c>
      <c r="N126" s="17">
        <f t="shared" ca="1" si="25"/>
        <v>373.28767123287668</v>
      </c>
      <c r="O126" s="59" t="s">
        <v>27</v>
      </c>
      <c r="P126" s="50" t="s">
        <v>207</v>
      </c>
      <c r="Q126" s="161">
        <v>10.199999999999999</v>
      </c>
      <c r="R126" s="1" t="s">
        <v>149</v>
      </c>
      <c r="S126" s="1" t="s">
        <v>879</v>
      </c>
      <c r="T126" s="128" t="s">
        <v>216</v>
      </c>
      <c r="U126" s="6" t="s">
        <v>966</v>
      </c>
      <c r="V126" s="106" t="s">
        <v>247</v>
      </c>
      <c r="W126" s="105" t="s">
        <v>248</v>
      </c>
      <c r="X126" s="138" t="s">
        <v>298</v>
      </c>
      <c r="Y126" s="180">
        <v>52937201185</v>
      </c>
      <c r="Z126" s="2" t="s">
        <v>967</v>
      </c>
      <c r="AA126" s="2" t="s">
        <v>968</v>
      </c>
      <c r="AB126" s="2" t="s">
        <v>253</v>
      </c>
      <c r="AD126" s="15">
        <v>42341</v>
      </c>
      <c r="AL126" s="2" t="s">
        <v>901</v>
      </c>
      <c r="AM126" s="2" t="s">
        <v>902</v>
      </c>
      <c r="AN126" s="2" t="s">
        <v>748</v>
      </c>
      <c r="AO126" s="2" t="s">
        <v>253</v>
      </c>
      <c r="AP126" s="180">
        <v>28984</v>
      </c>
      <c r="AQ126" s="162">
        <v>3121612254</v>
      </c>
      <c r="AR126" s="176">
        <v>3121078830</v>
      </c>
      <c r="AU126" s="2" t="s">
        <v>258</v>
      </c>
    </row>
    <row r="127" spans="1:63" x14ac:dyDescent="0.2">
      <c r="A127" s="173"/>
      <c r="B127" s="15">
        <v>42319</v>
      </c>
      <c r="C127" s="176">
        <f t="shared" si="32"/>
        <v>11</v>
      </c>
      <c r="D127" s="176">
        <f t="shared" si="33"/>
        <v>11</v>
      </c>
      <c r="E127" s="16" t="str">
        <f>+LOOKUP(D127,'Factor Integración'!$L$4:$L$15,'Factor Integración'!$M$4:$M$15)</f>
        <v>Noviembre</v>
      </c>
      <c r="F127" s="176">
        <f t="shared" si="34"/>
        <v>2015</v>
      </c>
      <c r="G127" s="2" t="s">
        <v>969</v>
      </c>
      <c r="H127" s="182">
        <f>+IF(Q127&gt;0,(LOOKUP(Q127,Tabulador!C$34:C$93,Tabulador!D$34:D$93)/7),0)</f>
        <v>178.57142857142858</v>
      </c>
      <c r="I127" s="40">
        <f t="shared" ca="1" si="23"/>
        <v>42319</v>
      </c>
      <c r="J127" s="42">
        <f t="shared" ca="1" si="35"/>
        <v>0</v>
      </c>
      <c r="K127" s="38">
        <f ca="1">+IF(J127&gt;0,(LOOKUP(J127,'Factor Integración'!C$5:C$44,'Factor Integración'!G$5:G$44)),'Factor Integración'!$G$5)</f>
        <v>1.0452054794520547</v>
      </c>
      <c r="L127" s="125">
        <f>+IF(Q127&lt;&gt;0,LOOKUP(Q127,Tabulador!C$33:C$93,Tabulador!D$33:D$93),0)</f>
        <v>1250</v>
      </c>
      <c r="M127" s="127" t="str">
        <f>+IF(L127&gt;0,(LOOKUP(L127,Tabulador!E$33:E$93,Tabulador!F$33:F$93)),0)</f>
        <v>(UN MIL DOSCIENTOS CINCUENTA  PESOS  00/100 M.N.)</v>
      </c>
      <c r="N127" s="17">
        <f t="shared" ca="1" si="25"/>
        <v>186.64383561643834</v>
      </c>
      <c r="O127" s="59" t="s">
        <v>27</v>
      </c>
      <c r="P127" s="50" t="s">
        <v>207</v>
      </c>
      <c r="Q127" s="161">
        <v>6.2</v>
      </c>
      <c r="R127" s="1" t="s">
        <v>881</v>
      </c>
      <c r="S127" s="1" t="s">
        <v>880</v>
      </c>
      <c r="T127" s="128" t="s">
        <v>212</v>
      </c>
      <c r="U127" s="6" t="s">
        <v>1018</v>
      </c>
      <c r="V127" s="106" t="s">
        <v>247</v>
      </c>
      <c r="W127" s="105" t="s">
        <v>248</v>
      </c>
      <c r="X127" s="138" t="s">
        <v>250</v>
      </c>
      <c r="Y127" s="180" t="s">
        <v>1025</v>
      </c>
      <c r="Z127" s="2" t="s">
        <v>1026</v>
      </c>
      <c r="AA127" s="2" t="s">
        <v>1027</v>
      </c>
      <c r="AB127" s="2" t="s">
        <v>253</v>
      </c>
      <c r="AD127" s="15">
        <v>27022</v>
      </c>
      <c r="AE127" s="53">
        <v>43</v>
      </c>
      <c r="AH127" s="110">
        <v>43</v>
      </c>
      <c r="AL127" s="2" t="s">
        <v>904</v>
      </c>
      <c r="AM127" s="2" t="s">
        <v>905</v>
      </c>
      <c r="AN127" s="2" t="s">
        <v>257</v>
      </c>
      <c r="AO127" s="2" t="s">
        <v>253</v>
      </c>
      <c r="AP127" s="180">
        <v>28140</v>
      </c>
      <c r="AY127" s="107">
        <v>42319</v>
      </c>
      <c r="BD127" s="180">
        <v>90</v>
      </c>
      <c r="BE127" s="107">
        <v>42411</v>
      </c>
      <c r="BJ127" s="107">
        <v>42412</v>
      </c>
      <c r="BK127" s="107">
        <v>42502</v>
      </c>
    </row>
    <row r="128" spans="1:63" x14ac:dyDescent="0.2">
      <c r="A128" s="173"/>
      <c r="B128" s="15">
        <v>42328</v>
      </c>
      <c r="C128" s="176">
        <f t="shared" si="32"/>
        <v>20</v>
      </c>
      <c r="D128" s="176">
        <f t="shared" si="33"/>
        <v>11</v>
      </c>
      <c r="E128" s="16" t="str">
        <f>+LOOKUP(D128,'Factor Integración'!$L$4:$L$15,'Factor Integración'!$M$4:$M$15)</f>
        <v>Noviembre</v>
      </c>
      <c r="F128" s="176">
        <f t="shared" si="34"/>
        <v>2015</v>
      </c>
      <c r="G128" s="2" t="s">
        <v>908</v>
      </c>
      <c r="H128" s="182">
        <f>+IF(Q128&gt;0,(LOOKUP(Q128,Tabulador!C$34:C$93,Tabulador!D$34:D$93)/7),0)</f>
        <v>628.57142857142856</v>
      </c>
      <c r="I128" s="40">
        <f t="shared" ca="1" si="23"/>
        <v>42328</v>
      </c>
      <c r="J128" s="42">
        <f t="shared" ca="1" si="35"/>
        <v>0</v>
      </c>
      <c r="K128" s="38">
        <f ca="1">+IF(J128&gt;0,(LOOKUP(J128,'Factor Integración'!C$5:C$44,'Factor Integración'!G$5:G$44)),'Factor Integración'!$G$5)</f>
        <v>1.0452054794520547</v>
      </c>
      <c r="L128" s="125">
        <f>+IF(Q128&lt;&gt;0,LOOKUP(Q128,Tabulador!C$33:C$93,Tabulador!D$33:D$93),0)</f>
        <v>4400</v>
      </c>
      <c r="M128" s="127" t="str">
        <f>+IF(L128&gt;0,(LOOKUP(L128,Tabulador!E$33:E$93,Tabulador!F$33:F$93)),0)</f>
        <v>(CUATRO MIL CUATROCIENTOS  PESOS  00/100 M.N.)</v>
      </c>
      <c r="N128" s="17">
        <f t="shared" ca="1" si="25"/>
        <v>656.98630136986287</v>
      </c>
      <c r="O128" s="59" t="s">
        <v>27</v>
      </c>
      <c r="P128" s="50" t="s">
        <v>207</v>
      </c>
      <c r="Q128" s="161">
        <v>13.3</v>
      </c>
      <c r="T128" s="128" t="s">
        <v>212</v>
      </c>
      <c r="AL128" s="2" t="s">
        <v>909</v>
      </c>
      <c r="AM128" s="2" t="s">
        <v>807</v>
      </c>
      <c r="AN128" s="2" t="s">
        <v>257</v>
      </c>
      <c r="AO128" s="2" t="s">
        <v>253</v>
      </c>
    </row>
    <row r="129" spans="1:57" x14ac:dyDescent="0.2">
      <c r="A129" s="173"/>
      <c r="B129" s="15">
        <v>42342</v>
      </c>
      <c r="C129" s="176">
        <f t="shared" si="32"/>
        <v>4</v>
      </c>
      <c r="D129" s="176">
        <f t="shared" si="33"/>
        <v>12</v>
      </c>
      <c r="E129" s="16" t="str">
        <f>+LOOKUP(D129,'Factor Integración'!$L$4:$L$15,'Factor Integración'!$M$4:$M$15)</f>
        <v>Diciembre</v>
      </c>
      <c r="F129" s="176">
        <f t="shared" si="34"/>
        <v>2015</v>
      </c>
      <c r="G129" s="2" t="s">
        <v>916</v>
      </c>
      <c r="H129" s="182">
        <f>+IF(Q129&gt;0,(LOOKUP(Q129,Tabulador!C$34:C$93,Tabulador!D$34:D$93)/7),0)</f>
        <v>742.82142857142856</v>
      </c>
      <c r="I129" s="40">
        <f t="shared" ca="1" si="23"/>
        <v>42342</v>
      </c>
      <c r="J129" s="42">
        <f t="shared" ca="1" si="35"/>
        <v>0</v>
      </c>
      <c r="K129" s="38">
        <f ca="1">+IF(J129&gt;0,(LOOKUP(J129,'Factor Integración'!C$5:C$44,'Factor Integración'!G$5:G$44)),'Factor Integración'!$G$5)</f>
        <v>1.0452054794520547</v>
      </c>
      <c r="L129" s="125">
        <f>+IF(Q129&lt;&gt;0,LOOKUP(Q129,Tabulador!C$33:C$93,Tabulador!D$33:D$93),0)</f>
        <v>5199.75</v>
      </c>
      <c r="M129" s="127" t="str">
        <f>+IF(L129&gt;0,(LOOKUP(L129,Tabulador!E$33:E$93,Tabulador!F$33:F$93)),0)</f>
        <v>(CUATRO MIL NOVECIENTOS TREINTA Y CINCO PESOS  00/100 M.N.)</v>
      </c>
      <c r="N129" s="17">
        <f t="shared" ca="1" si="25"/>
        <v>776.40102739726012</v>
      </c>
      <c r="O129" s="59" t="s">
        <v>27</v>
      </c>
      <c r="P129" s="50" t="s">
        <v>207</v>
      </c>
      <c r="Q129" s="161">
        <v>14.3</v>
      </c>
      <c r="T129" s="128" t="s">
        <v>210</v>
      </c>
      <c r="AL129" s="2" t="s">
        <v>917</v>
      </c>
      <c r="AM129" s="2" t="s">
        <v>348</v>
      </c>
      <c r="AN129" s="2" t="s">
        <v>257</v>
      </c>
      <c r="AO129" s="2" t="s">
        <v>253</v>
      </c>
    </row>
    <row r="130" spans="1:57" x14ac:dyDescent="0.2">
      <c r="A130" s="173"/>
      <c r="B130" s="15">
        <v>42332</v>
      </c>
      <c r="C130" s="176">
        <f t="shared" si="32"/>
        <v>24</v>
      </c>
      <c r="D130" s="176">
        <f t="shared" si="33"/>
        <v>11</v>
      </c>
      <c r="E130" s="16" t="str">
        <f>+LOOKUP(D130,'Factor Integración'!$L$4:$L$15,'Factor Integración'!$M$4:$M$15)</f>
        <v>Noviembre</v>
      </c>
      <c r="F130" s="176">
        <f t="shared" si="34"/>
        <v>2015</v>
      </c>
      <c r="G130" s="2" t="s">
        <v>918</v>
      </c>
      <c r="H130" s="182">
        <f>+IF(Q130&gt;0,(LOOKUP(Q130,Tabulador!C$34:C$93,Tabulador!D$34:D$93)/7),0)</f>
        <v>866.25</v>
      </c>
      <c r="I130" s="40">
        <f t="shared" ref="I130:I160" ca="1" si="36">IF(B130&lt;&gt;"",IF(DATE(YEAR(I$1),MONTH(B130),DAY(B130))&lt;TODAY(),DATE(YEAR(I$1),MONTH(B130),DAY(B130)),DATE(YEAR(I$1)-1,MONTH(B130),DAY(B130))),"")</f>
        <v>42332</v>
      </c>
      <c r="J130" s="42">
        <f t="shared" ca="1" si="35"/>
        <v>0</v>
      </c>
      <c r="K130" s="38">
        <f ca="1">+IF(J130&gt;0,(LOOKUP(J130,'Factor Integración'!C$5:C$44,'Factor Integración'!G$5:G$44)),'Factor Integración'!$G$5)</f>
        <v>1.0452054794520547</v>
      </c>
      <c r="L130" s="125">
        <f>+IF(Q130&lt;&gt;0,LOOKUP(Q130,Tabulador!C$33:C$93,Tabulador!D$33:D$93),0)</f>
        <v>6063.75</v>
      </c>
      <c r="M130" s="127" t="str">
        <f>+IF(L130&gt;0,(LOOKUP(L130,Tabulador!E$33:E$93,Tabulador!F$33:F$93)),0)</f>
        <v>(CINCO MIL SETECIENTOS SETENTA Y CINCO PESOS  00/100 M.N.)</v>
      </c>
      <c r="N130" s="17">
        <f t="shared" ca="1" si="25"/>
        <v>905.40924657534231</v>
      </c>
      <c r="O130" s="59" t="s">
        <v>27</v>
      </c>
      <c r="P130" s="50" t="s">
        <v>207</v>
      </c>
      <c r="Q130" s="161">
        <v>15.3</v>
      </c>
      <c r="T130" s="128" t="s">
        <v>211</v>
      </c>
      <c r="AL130" s="2" t="s">
        <v>919</v>
      </c>
      <c r="AM130" s="2" t="s">
        <v>273</v>
      </c>
      <c r="AN130" s="2" t="s">
        <v>285</v>
      </c>
      <c r="AO130" s="2" t="s">
        <v>253</v>
      </c>
    </row>
    <row r="131" spans="1:57" x14ac:dyDescent="0.2">
      <c r="A131" s="173"/>
      <c r="B131" s="15">
        <v>42339</v>
      </c>
      <c r="C131" s="176">
        <f t="shared" si="32"/>
        <v>1</v>
      </c>
      <c r="D131" s="176">
        <f t="shared" si="33"/>
        <v>12</v>
      </c>
      <c r="E131" s="16" t="str">
        <f>+LOOKUP(D131,'Factor Integración'!$L$4:$L$15,'Factor Integración'!$M$4:$M$15)</f>
        <v>Diciembre</v>
      </c>
      <c r="F131" s="176">
        <f t="shared" si="34"/>
        <v>2015</v>
      </c>
      <c r="G131" s="2" t="s">
        <v>921</v>
      </c>
      <c r="H131" s="182">
        <f>+IF(Q131&gt;0,(LOOKUP(Q131,Tabulador!C$34:C$93,Tabulador!D$34:D$93)/7),0)</f>
        <v>909.5625</v>
      </c>
      <c r="I131" s="40">
        <f t="shared" ca="1" si="36"/>
        <v>42339</v>
      </c>
      <c r="J131" s="42">
        <f t="shared" ca="1" si="35"/>
        <v>0</v>
      </c>
      <c r="K131" s="38">
        <f ca="1">+IF(J131&gt;0,(LOOKUP(J131,'Factor Integración'!C$5:C$44,'Factor Integración'!G$5:G$44)),'Factor Integración'!$G$5)</f>
        <v>1.0452054794520547</v>
      </c>
      <c r="L131" s="125">
        <f>+IF(Q131&lt;&gt;0,LOOKUP(Q131,Tabulador!C$33:C$93,Tabulador!D$33:D$93),0)</f>
        <v>6366.9375</v>
      </c>
      <c r="M131" s="127" t="str">
        <f>+IF(L131&gt;0,(LOOKUP(L131,Tabulador!E$33:E$93,Tabulador!F$33:F$93)),0)</f>
        <v>(SEIS MIL SESENTA Y CUATRO PESOS  00/100 M.N.)</v>
      </c>
      <c r="N131" s="17">
        <f t="shared" ref="N131:N141" ca="1" si="37">+H131*K131</f>
        <v>950.67970890410948</v>
      </c>
      <c r="O131" s="59" t="s">
        <v>27</v>
      </c>
      <c r="P131" s="50" t="s">
        <v>207</v>
      </c>
      <c r="Q131" s="161">
        <v>16.3</v>
      </c>
      <c r="T131" s="128" t="s">
        <v>216</v>
      </c>
      <c r="AL131" s="2" t="s">
        <v>922</v>
      </c>
      <c r="AM131" s="2" t="s">
        <v>792</v>
      </c>
      <c r="AN131" s="2" t="s">
        <v>257</v>
      </c>
      <c r="AO131" s="2" t="s">
        <v>253</v>
      </c>
    </row>
    <row r="132" spans="1:57" x14ac:dyDescent="0.2">
      <c r="A132" s="173"/>
      <c r="B132" s="15">
        <v>42342</v>
      </c>
      <c r="C132" s="176">
        <f t="shared" si="32"/>
        <v>4</v>
      </c>
      <c r="D132" s="176">
        <f t="shared" si="33"/>
        <v>12</v>
      </c>
      <c r="E132" s="16" t="str">
        <f>+LOOKUP(D132,'Factor Integración'!$L$4:$L$15,'Factor Integración'!$M$4:$M$15)</f>
        <v>Diciembre</v>
      </c>
      <c r="F132" s="176">
        <f t="shared" si="34"/>
        <v>2015</v>
      </c>
      <c r="G132" s="2" t="s">
        <v>929</v>
      </c>
      <c r="H132" s="182">
        <f>+IF(Q132&gt;0,(LOOKUP(Q132,Tabulador!C$34:C$93,Tabulador!D$34:D$93)/7),0)</f>
        <v>909.5625</v>
      </c>
      <c r="I132" s="40">
        <f t="shared" ca="1" si="36"/>
        <v>42342</v>
      </c>
      <c r="J132" s="42">
        <f t="shared" ca="1" si="35"/>
        <v>0</v>
      </c>
      <c r="K132" s="38">
        <f ca="1">+IF(J132&gt;0,(LOOKUP(J132,'Factor Integración'!C$5:C$44,'Factor Integración'!G$5:G$44)),'Factor Integración'!$G$5)</f>
        <v>1.0452054794520547</v>
      </c>
      <c r="L132" s="125">
        <f>+IF(Q132&lt;&gt;0,LOOKUP(Q132,Tabulador!C$33:C$93,Tabulador!D$33:D$93),0)</f>
        <v>6366.9375</v>
      </c>
      <c r="M132" s="127" t="str">
        <f>+IF(L132&gt;0,(LOOKUP(L132,Tabulador!E$33:E$93,Tabulador!F$33:F$93)),0)</f>
        <v>(SEIS MIL SESENTA Y CUATRO PESOS  00/100 M.N.)</v>
      </c>
      <c r="N132" s="17">
        <f t="shared" ca="1" si="37"/>
        <v>950.67970890410948</v>
      </c>
      <c r="O132" s="59" t="s">
        <v>27</v>
      </c>
      <c r="P132" s="50" t="s">
        <v>207</v>
      </c>
      <c r="Q132" s="161">
        <v>17.3</v>
      </c>
      <c r="T132" s="128" t="s">
        <v>214</v>
      </c>
      <c r="AL132" s="2" t="s">
        <v>930</v>
      </c>
      <c r="AM132" s="2" t="s">
        <v>931</v>
      </c>
      <c r="AN132" s="2" t="s">
        <v>285</v>
      </c>
      <c r="AO132" s="2" t="s">
        <v>253</v>
      </c>
    </row>
    <row r="133" spans="1:57" x14ac:dyDescent="0.2">
      <c r="A133" s="173" t="s">
        <v>939</v>
      </c>
      <c r="B133" s="145">
        <v>42335</v>
      </c>
      <c r="C133" s="176">
        <f t="shared" si="32"/>
        <v>27</v>
      </c>
      <c r="D133" s="176">
        <f t="shared" si="33"/>
        <v>11</v>
      </c>
      <c r="E133" s="16" t="str">
        <f>+LOOKUP(D133,'Factor Integración'!$L$4:$L$15,'Factor Integración'!$M$4:$M$15)</f>
        <v>Noviembre</v>
      </c>
      <c r="F133" s="176">
        <f t="shared" si="34"/>
        <v>2015</v>
      </c>
      <c r="G133" s="2" t="s">
        <v>932</v>
      </c>
      <c r="H133" s="182">
        <f>+IF(Q133&gt;0,(LOOKUP(Q133,Tabulador!C$34:C$93,Tabulador!D$34:D$93)/7),0)</f>
        <v>257.14285714285717</v>
      </c>
      <c r="I133" s="40">
        <f t="shared" ca="1" si="36"/>
        <v>42335</v>
      </c>
      <c r="J133" s="42">
        <f t="shared" ca="1" si="35"/>
        <v>0</v>
      </c>
      <c r="K133" s="38">
        <f ca="1">+IF(J133&gt;0,(LOOKUP(J133,'Factor Integración'!C$5:C$44,'Factor Integración'!G$5:G$44)),'Factor Integración'!$G$5)</f>
        <v>1.0452054794520547</v>
      </c>
      <c r="L133" s="125">
        <f>+IF(Q133&lt;&gt;0,LOOKUP(Q133,Tabulador!C$33:C$93,Tabulador!D$33:D$93),0)</f>
        <v>1800</v>
      </c>
      <c r="M133" s="127" t="str">
        <f>+IF(L133&gt;0,(LOOKUP(L133,Tabulador!E$33:E$93,Tabulador!F$33:F$93)),0)</f>
        <v>(UN MIL OCHOCIENTOS  PESOS  00/100 M.N.)</v>
      </c>
      <c r="N133" s="17">
        <f t="shared" ca="1" si="37"/>
        <v>268.76712328767121</v>
      </c>
      <c r="O133" s="59" t="s">
        <v>27</v>
      </c>
      <c r="P133" s="50" t="s">
        <v>207</v>
      </c>
      <c r="Q133" s="161">
        <v>8.5</v>
      </c>
      <c r="R133" s="1" t="s">
        <v>149</v>
      </c>
      <c r="S133" s="1" t="s">
        <v>879</v>
      </c>
      <c r="T133" s="128" t="s">
        <v>214</v>
      </c>
      <c r="U133" s="6" t="s">
        <v>234</v>
      </c>
      <c r="AL133" s="2" t="s">
        <v>933</v>
      </c>
      <c r="AM133" s="2" t="s">
        <v>348</v>
      </c>
      <c r="AN133" s="2" t="s">
        <v>257</v>
      </c>
      <c r="AO133" s="2" t="s">
        <v>253</v>
      </c>
    </row>
    <row r="134" spans="1:57" x14ac:dyDescent="0.2">
      <c r="B134" s="15">
        <v>42375</v>
      </c>
      <c r="C134" s="176">
        <f t="shared" si="32"/>
        <v>6</v>
      </c>
      <c r="D134" s="176">
        <f t="shared" si="33"/>
        <v>1</v>
      </c>
      <c r="E134" s="16" t="str">
        <f>+LOOKUP(D134,'Factor Integración'!$L$4:$L$15,'Factor Integración'!$M$4:$M$15)</f>
        <v>Enero</v>
      </c>
      <c r="F134" s="176">
        <f t="shared" si="34"/>
        <v>2016</v>
      </c>
      <c r="G134" s="2" t="s">
        <v>940</v>
      </c>
      <c r="H134" s="182">
        <f>+IF(Q134&gt;0,(LOOKUP(Q134,Tabulador!C$34:C$93,Tabulador!D$34:D$93)/7),0)</f>
        <v>257.14285714285717</v>
      </c>
      <c r="I134" s="40">
        <f t="shared" ca="1" si="36"/>
        <v>42375</v>
      </c>
      <c r="K134" s="38">
        <f>+IF(J134&gt;0,(LOOKUP(J134,'Factor Integración'!C$5:C$44,'Factor Integración'!G$5:G$44)),'Factor Integración'!$G$5)</f>
        <v>1.0452054794520547</v>
      </c>
      <c r="L134" s="125">
        <f>+IF(Q134&lt;&gt;0,LOOKUP(Q134,Tabulador!C$33:C$93,Tabulador!D$33:D$93),0)</f>
        <v>1800</v>
      </c>
      <c r="M134" s="127" t="str">
        <f>+IF(L134&gt;0,(LOOKUP(L134,Tabulador!E$33:E$93,Tabulador!F$33:F$93)),0)</f>
        <v>(UN MIL OCHOCIENTOS  PESOS  00/100 M.N.)</v>
      </c>
      <c r="N134" s="17">
        <f t="shared" si="37"/>
        <v>268.76712328767121</v>
      </c>
      <c r="O134" s="59" t="s">
        <v>27</v>
      </c>
      <c r="P134" s="49" t="s">
        <v>207</v>
      </c>
      <c r="Q134" s="161">
        <v>8.5</v>
      </c>
      <c r="V134" s="106" t="s">
        <v>247</v>
      </c>
      <c r="W134" s="105" t="s">
        <v>248</v>
      </c>
      <c r="X134" s="138" t="s">
        <v>250</v>
      </c>
      <c r="Y134" s="180">
        <v>52028701481</v>
      </c>
      <c r="Z134" s="2" t="s">
        <v>941</v>
      </c>
      <c r="AA134" s="2" t="s">
        <v>942</v>
      </c>
      <c r="AB134" s="2" t="s">
        <v>253</v>
      </c>
      <c r="AD134" s="15">
        <v>31916</v>
      </c>
      <c r="AE134" s="53">
        <v>28</v>
      </c>
      <c r="AH134" s="110">
        <v>28</v>
      </c>
      <c r="AL134" s="2" t="s">
        <v>943</v>
      </c>
      <c r="AM134" s="2" t="s">
        <v>348</v>
      </c>
      <c r="AN134" s="2" t="s">
        <v>257</v>
      </c>
      <c r="AO134" s="2" t="s">
        <v>253</v>
      </c>
      <c r="AP134" s="180">
        <v>28180</v>
      </c>
      <c r="AR134" s="176">
        <v>3131181362</v>
      </c>
      <c r="AU134" s="2" t="s">
        <v>266</v>
      </c>
    </row>
    <row r="135" spans="1:57" x14ac:dyDescent="0.2">
      <c r="B135" s="15">
        <v>42373</v>
      </c>
      <c r="C135" s="176">
        <f t="shared" si="32"/>
        <v>4</v>
      </c>
      <c r="D135" s="176">
        <f t="shared" si="33"/>
        <v>1</v>
      </c>
      <c r="E135" s="16" t="str">
        <f>+LOOKUP(D135,'Factor Integración'!$L$4:$L$15,'Factor Integración'!$M$4:$M$15)</f>
        <v>Enero</v>
      </c>
      <c r="F135" s="176">
        <f t="shared" si="34"/>
        <v>2016</v>
      </c>
      <c r="G135" s="2" t="s">
        <v>945</v>
      </c>
      <c r="H135" s="182">
        <f>+IF(Q135&gt;0,(LOOKUP(Q135,Tabulador!C$34:C$93,Tabulador!D$34:D$93)/7),0)</f>
        <v>328.57142857142856</v>
      </c>
      <c r="I135" s="15">
        <f t="shared" ca="1" si="36"/>
        <v>42373</v>
      </c>
      <c r="K135" s="38">
        <f>+IF(J135&gt;0,(LOOKUP(J135,'Factor Integración'!C$5:C$44,'Factor Integración'!G$5:G$44)),'Factor Integración'!$G$5)</f>
        <v>1.0452054794520547</v>
      </c>
      <c r="L135" s="125">
        <f>+IF(Q135&lt;&gt;0,LOOKUP(Q135,Tabulador!C$33:C$93,Tabulador!D$33:D$93),0)</f>
        <v>2300</v>
      </c>
      <c r="M135" s="127" t="str">
        <f>+IF(L135&gt;0,(LOOKUP(L135,Tabulador!E$33:E$93,Tabulador!F$33:F$93)),0)</f>
        <v>(DOS MIL TRESCIENTOS  PESOS  00/100 M.N.)</v>
      </c>
      <c r="N135" s="17">
        <f t="shared" si="37"/>
        <v>343.42465753424653</v>
      </c>
      <c r="O135" s="59" t="s">
        <v>27</v>
      </c>
      <c r="P135" s="49" t="s">
        <v>207</v>
      </c>
      <c r="Q135" s="161">
        <v>9.4</v>
      </c>
      <c r="R135" s="1" t="s">
        <v>881</v>
      </c>
      <c r="S135" s="1" t="s">
        <v>880</v>
      </c>
      <c r="T135" s="6" t="s">
        <v>212</v>
      </c>
      <c r="U135" s="6" t="s">
        <v>946</v>
      </c>
      <c r="V135" s="106" t="s">
        <v>247</v>
      </c>
      <c r="W135" s="105" t="s">
        <v>248</v>
      </c>
      <c r="X135" s="138" t="s">
        <v>250</v>
      </c>
      <c r="Y135" s="180">
        <v>54947000078</v>
      </c>
      <c r="Z135" s="2" t="s">
        <v>947</v>
      </c>
      <c r="AA135" s="2" t="s">
        <v>948</v>
      </c>
      <c r="AB135" s="2" t="s">
        <v>301</v>
      </c>
      <c r="AD135" s="15">
        <v>25666</v>
      </c>
      <c r="AE135" s="53">
        <v>45</v>
      </c>
      <c r="AH135" s="110">
        <v>45</v>
      </c>
      <c r="AL135" s="2" t="s">
        <v>949</v>
      </c>
      <c r="AM135" s="2" t="s">
        <v>950</v>
      </c>
      <c r="AN135" s="2" t="s">
        <v>748</v>
      </c>
      <c r="AO135" s="2" t="s">
        <v>253</v>
      </c>
      <c r="AP135" s="180">
        <v>28983</v>
      </c>
      <c r="AR135" s="176">
        <v>3121650264</v>
      </c>
      <c r="AU135" s="2" t="s">
        <v>258</v>
      </c>
      <c r="AY135" s="107">
        <v>42373</v>
      </c>
      <c r="BD135" s="180">
        <v>90</v>
      </c>
      <c r="BE135" s="107">
        <f>+AY135+BD135</f>
        <v>42463</v>
      </c>
    </row>
    <row r="136" spans="1:57" x14ac:dyDescent="0.2">
      <c r="B136" s="15">
        <v>42380</v>
      </c>
      <c r="C136" s="176">
        <f t="shared" si="32"/>
        <v>11</v>
      </c>
      <c r="D136" s="176">
        <f t="shared" si="33"/>
        <v>1</v>
      </c>
      <c r="E136" s="16" t="str">
        <f>+LOOKUP(D136,'Factor Integración'!$L$4:$L$15,'Factor Integración'!$M$4:$M$15)</f>
        <v>Enero</v>
      </c>
      <c r="F136" s="176">
        <f t="shared" si="34"/>
        <v>2016</v>
      </c>
      <c r="G136" s="2" t="s">
        <v>951</v>
      </c>
      <c r="H136" s="182">
        <f>+IF(Q136&gt;0,(LOOKUP(Q136,Tabulador!C$34:C$93,Tabulador!D$34:D$93)/7),0)</f>
        <v>157.08589348571431</v>
      </c>
      <c r="I136" s="15">
        <f t="shared" ca="1" si="36"/>
        <v>42380</v>
      </c>
      <c r="K136" s="38">
        <f>+IF(J136&gt;0,(LOOKUP(J136,'Factor Integración'!C$5:C$44,'Factor Integración'!G$5:G$44)),'Factor Integración'!$G$5)</f>
        <v>1.0452054794520547</v>
      </c>
      <c r="L136" s="125">
        <f>+IF(Q136&lt;&gt;0,LOOKUP(Q136,Tabulador!C$33:C$93,Tabulador!D$33:D$93),0)</f>
        <v>1099.6012544000002</v>
      </c>
      <c r="M136" s="127" t="str">
        <f>+IF(L136&gt;0,(LOOKUP(L136,Tabulador!E$33:E$93,Tabulador!F$33:F$93)),0)</f>
        <v>(UN MIL  PESOS  00/100 M.N.)</v>
      </c>
      <c r="N136" s="17">
        <f t="shared" si="37"/>
        <v>164.18703661589041</v>
      </c>
      <c r="O136" s="59" t="s">
        <v>27</v>
      </c>
      <c r="P136" s="49" t="s">
        <v>207</v>
      </c>
      <c r="Q136" s="161">
        <v>5.4</v>
      </c>
      <c r="R136" s="1" t="s">
        <v>885</v>
      </c>
      <c r="S136" s="1" t="s">
        <v>886</v>
      </c>
      <c r="T136" s="6" t="s">
        <v>218</v>
      </c>
      <c r="U136" s="6" t="s">
        <v>239</v>
      </c>
      <c r="V136" s="106" t="s">
        <v>247</v>
      </c>
      <c r="W136" s="105" t="s">
        <v>248</v>
      </c>
      <c r="X136" s="138" t="s">
        <v>250</v>
      </c>
      <c r="Y136" s="180">
        <v>52068102525</v>
      </c>
      <c r="Z136" s="2" t="s">
        <v>952</v>
      </c>
      <c r="AA136" s="2" t="s">
        <v>953</v>
      </c>
      <c r="AB136" s="2" t="s">
        <v>253</v>
      </c>
      <c r="AD136" s="15">
        <v>29715</v>
      </c>
      <c r="AE136" s="53">
        <v>34</v>
      </c>
      <c r="AH136" s="110">
        <v>34</v>
      </c>
      <c r="AJ136" s="2" t="s">
        <v>954</v>
      </c>
      <c r="AK136" s="2" t="s">
        <v>955</v>
      </c>
      <c r="AL136" s="2" t="s">
        <v>956</v>
      </c>
      <c r="AM136" s="2" t="s">
        <v>408</v>
      </c>
      <c r="AN136" s="2" t="s">
        <v>257</v>
      </c>
      <c r="AO136" s="2" t="s">
        <v>253</v>
      </c>
      <c r="AR136" s="176">
        <v>3131125033</v>
      </c>
      <c r="AU136" s="2" t="s">
        <v>266</v>
      </c>
      <c r="AY136" s="107">
        <v>42422</v>
      </c>
      <c r="BD136" s="180">
        <v>90</v>
      </c>
      <c r="BE136" s="107">
        <v>42512</v>
      </c>
    </row>
    <row r="137" spans="1:57" x14ac:dyDescent="0.2">
      <c r="B137" s="15">
        <v>42422</v>
      </c>
      <c r="C137" s="176">
        <f t="shared" si="32"/>
        <v>22</v>
      </c>
      <c r="D137" s="176">
        <f t="shared" si="33"/>
        <v>2</v>
      </c>
      <c r="E137" s="16" t="str">
        <f>+LOOKUP(D137,'Factor Integración'!$L$4:$L$15,'Factor Integración'!$M$4:$M$15)</f>
        <v>Febrero</v>
      </c>
      <c r="F137" s="176">
        <f t="shared" si="34"/>
        <v>2016</v>
      </c>
      <c r="G137" s="2" t="s">
        <v>957</v>
      </c>
      <c r="H137" s="182">
        <f>+IF(Q137&gt;0,(LOOKUP(Q137,Tabulador!C$34:C$93,Tabulador!D$34:D$93)/7),0)</f>
        <v>285.71428571428572</v>
      </c>
      <c r="I137" s="15">
        <f t="shared" ca="1" si="36"/>
        <v>42422</v>
      </c>
      <c r="K137" s="36">
        <v>1.0451999999999999</v>
      </c>
      <c r="L137" s="125">
        <f>+IF(Q137&lt;&gt;0,LOOKUP(Q137,Tabulador!C$33:C$93,Tabulador!D$33:D$93),0)</f>
        <v>2000</v>
      </c>
      <c r="M137" s="127" t="str">
        <f>+IF(L137&gt;0,(LOOKUP(L137,Tabulador!E$33:E$93,Tabulador!F$33:F$93)),0)</f>
        <v>(DOS MIL  PESOS  00/100 M.N.)</v>
      </c>
      <c r="N137" s="17">
        <f t="shared" si="37"/>
        <v>298.62857142857143</v>
      </c>
      <c r="O137" s="59" t="s">
        <v>27</v>
      </c>
      <c r="P137" s="49" t="s">
        <v>207</v>
      </c>
      <c r="Q137" s="161">
        <v>9.1</v>
      </c>
      <c r="R137" s="1" t="s">
        <v>149</v>
      </c>
      <c r="S137" s="1" t="s">
        <v>879</v>
      </c>
      <c r="T137" s="6" t="s">
        <v>216</v>
      </c>
      <c r="U137" s="6" t="s">
        <v>958</v>
      </c>
      <c r="V137" s="106" t="s">
        <v>247</v>
      </c>
      <c r="W137" s="105" t="s">
        <v>248</v>
      </c>
      <c r="X137" s="138" t="s">
        <v>250</v>
      </c>
      <c r="Y137" s="180" t="s">
        <v>959</v>
      </c>
      <c r="Z137" s="2" t="s">
        <v>960</v>
      </c>
      <c r="AA137" s="2" t="s">
        <v>961</v>
      </c>
      <c r="AB137" s="2" t="s">
        <v>253</v>
      </c>
      <c r="AD137" s="15">
        <v>33652</v>
      </c>
      <c r="AE137" s="53">
        <v>24</v>
      </c>
      <c r="AH137" s="110">
        <v>24</v>
      </c>
      <c r="AJ137" s="2" t="s">
        <v>962</v>
      </c>
      <c r="AK137" s="2" t="s">
        <v>963</v>
      </c>
      <c r="AL137" s="2" t="s">
        <v>964</v>
      </c>
      <c r="AM137" s="2" t="s">
        <v>965</v>
      </c>
      <c r="AN137" s="2" t="s">
        <v>253</v>
      </c>
      <c r="AO137" s="2" t="s">
        <v>253</v>
      </c>
      <c r="AP137" s="180">
        <v>28060</v>
      </c>
      <c r="AQ137" s="162">
        <v>3123127667</v>
      </c>
      <c r="AU137" s="2" t="s">
        <v>266</v>
      </c>
      <c r="AY137" s="107">
        <v>42422</v>
      </c>
      <c r="BD137" s="180">
        <v>90</v>
      </c>
      <c r="BE137" s="107">
        <v>42512</v>
      </c>
    </row>
    <row r="138" spans="1:57" x14ac:dyDescent="0.2">
      <c r="B138" s="15">
        <v>42349</v>
      </c>
      <c r="C138" s="176">
        <f t="shared" si="32"/>
        <v>11</v>
      </c>
      <c r="D138" s="176">
        <f t="shared" si="33"/>
        <v>12</v>
      </c>
      <c r="E138" s="16" t="str">
        <f>+LOOKUP(D138,'Factor Integración'!$L$4:$L$15,'Factor Integración'!$M$4:$M$15)</f>
        <v>Diciembre</v>
      </c>
      <c r="F138" s="176">
        <f t="shared" si="34"/>
        <v>2015</v>
      </c>
      <c r="G138" s="2" t="s">
        <v>970</v>
      </c>
      <c r="H138" s="182">
        <f>+IF(Q138&gt;0,(LOOKUP(Q138,Tabulador!C$34:C$93,Tabulador!D$34:D$93)/7),0)</f>
        <v>142.80320000000003</v>
      </c>
      <c r="I138" s="15">
        <f t="shared" ca="1" si="36"/>
        <v>42349</v>
      </c>
      <c r="K138" s="36">
        <v>1.0451999999999999</v>
      </c>
      <c r="L138" s="125">
        <f>+IF(Q138&lt;&gt;0,LOOKUP(Q138,Tabulador!C$33:C$93,Tabulador!D$33:D$93),0)</f>
        <v>999.6224000000002</v>
      </c>
      <c r="M138" s="127" t="str">
        <f>+Tabulador!F52</f>
        <v>(UN MIL  PESOS  00/100 M.N.)</v>
      </c>
      <c r="N138" s="17">
        <f t="shared" si="37"/>
        <v>149.25790464000002</v>
      </c>
      <c r="O138" s="59" t="s">
        <v>27</v>
      </c>
      <c r="P138" s="49" t="s">
        <v>207</v>
      </c>
      <c r="Q138" s="161">
        <v>5.3</v>
      </c>
      <c r="R138" s="1" t="s">
        <v>149</v>
      </c>
      <c r="S138" s="1" t="s">
        <v>879</v>
      </c>
      <c r="T138" s="6" t="s">
        <v>982</v>
      </c>
      <c r="U138" s="6" t="s">
        <v>225</v>
      </c>
      <c r="V138" s="106" t="s">
        <v>247</v>
      </c>
      <c r="W138" s="105" t="s">
        <v>248</v>
      </c>
      <c r="X138" s="138" t="s">
        <v>250</v>
      </c>
      <c r="Y138" s="180" t="s">
        <v>1001</v>
      </c>
      <c r="Z138" s="2" t="s">
        <v>1002</v>
      </c>
      <c r="AA138" s="2" t="s">
        <v>1003</v>
      </c>
      <c r="AB138" s="2" t="s">
        <v>253</v>
      </c>
      <c r="AD138" s="15">
        <v>31366</v>
      </c>
      <c r="AE138" s="53">
        <v>30</v>
      </c>
      <c r="AH138" s="110">
        <v>30</v>
      </c>
      <c r="AJ138" s="2" t="s">
        <v>1004</v>
      </c>
      <c r="AK138" s="2" t="s">
        <v>1005</v>
      </c>
      <c r="AL138" s="2" t="s">
        <v>1006</v>
      </c>
      <c r="AM138" s="2" t="s">
        <v>1007</v>
      </c>
      <c r="AN138" s="2" t="s">
        <v>257</v>
      </c>
      <c r="AO138" s="2" t="s">
        <v>253</v>
      </c>
      <c r="AP138" s="180">
        <v>28159</v>
      </c>
      <c r="AR138" s="176">
        <v>4535416907</v>
      </c>
      <c r="AU138" s="2" t="s">
        <v>258</v>
      </c>
      <c r="AV138" s="2" t="s">
        <v>1008</v>
      </c>
      <c r="AY138" s="107">
        <v>42349</v>
      </c>
      <c r="BD138" s="180">
        <v>90</v>
      </c>
      <c r="BE138" s="107">
        <v>42440</v>
      </c>
    </row>
    <row r="139" spans="1:57" x14ac:dyDescent="0.2">
      <c r="B139" s="15">
        <v>42397</v>
      </c>
      <c r="C139" s="176">
        <f t="shared" si="32"/>
        <v>28</v>
      </c>
      <c r="D139" s="176">
        <f t="shared" si="33"/>
        <v>1</v>
      </c>
      <c r="E139" s="16" t="str">
        <f>+LOOKUP(D139,'Factor Integración'!$L$4:$L$15,'Factor Integración'!$M$4:$M$15)</f>
        <v>Enero</v>
      </c>
      <c r="F139" s="176">
        <f t="shared" si="34"/>
        <v>2016</v>
      </c>
      <c r="G139" s="2" t="s">
        <v>971</v>
      </c>
      <c r="H139" s="182">
        <f>+IF(Q139&gt;0,(LOOKUP(Q139,Tabulador!C$34:C$93,Tabulador!D$34:D$93)/7),0)</f>
        <v>128.57142857142858</v>
      </c>
      <c r="I139" s="15">
        <f t="shared" ca="1" si="36"/>
        <v>42397</v>
      </c>
      <c r="K139" s="36">
        <v>1.0451999999999999</v>
      </c>
      <c r="L139" s="125">
        <f>+IF(Q139&lt;&gt;0,LOOKUP(Q139,Tabulador!C$33:C$93,Tabulador!D$33:D$93),0)</f>
        <v>900</v>
      </c>
      <c r="M139" s="127" t="str">
        <f>+IF(L139&gt;0,(LOOKUP(L139,Tabulador!E$33:E$93,Tabulador!F$33:F$93)),0)</f>
        <v>(NOVECIENTOS  PESOS  00/100 M.N.)</v>
      </c>
      <c r="N139" s="17">
        <f t="shared" si="37"/>
        <v>134.38285714285715</v>
      </c>
      <c r="O139" s="59" t="s">
        <v>27</v>
      </c>
      <c r="P139" s="49" t="s">
        <v>207</v>
      </c>
      <c r="Q139" s="161">
        <v>5.0999999999999996</v>
      </c>
      <c r="R139" s="1" t="s">
        <v>972</v>
      </c>
      <c r="S139" s="1" t="s">
        <v>973</v>
      </c>
      <c r="T139" s="6" t="s">
        <v>974</v>
      </c>
      <c r="U139" s="6" t="s">
        <v>225</v>
      </c>
      <c r="V139" s="106" t="s">
        <v>247</v>
      </c>
      <c r="W139" s="105" t="s">
        <v>248</v>
      </c>
      <c r="X139" s="138" t="s">
        <v>250</v>
      </c>
      <c r="Y139" s="180">
        <v>52078909265</v>
      </c>
      <c r="Z139" s="2" t="s">
        <v>975</v>
      </c>
      <c r="AA139" s="2" t="s">
        <v>976</v>
      </c>
      <c r="AB139" s="2" t="s">
        <v>253</v>
      </c>
      <c r="AD139" s="15">
        <v>32783</v>
      </c>
      <c r="AE139" s="53">
        <v>26</v>
      </c>
      <c r="AH139" s="110">
        <v>26</v>
      </c>
      <c r="AJ139" s="2" t="s">
        <v>977</v>
      </c>
      <c r="AK139" s="2" t="s">
        <v>978</v>
      </c>
      <c r="AL139" s="2" t="s">
        <v>979</v>
      </c>
      <c r="AM139" s="2" t="s">
        <v>337</v>
      </c>
      <c r="AN139" s="2" t="s">
        <v>257</v>
      </c>
      <c r="AO139" s="2" t="s">
        <v>253</v>
      </c>
      <c r="AP139" s="180">
        <v>28100</v>
      </c>
      <c r="AR139" s="176">
        <v>3133257598</v>
      </c>
      <c r="AU139" s="2" t="s">
        <v>258</v>
      </c>
      <c r="AV139" s="2" t="s">
        <v>980</v>
      </c>
      <c r="AY139" s="107">
        <v>42395</v>
      </c>
      <c r="BD139" s="180">
        <v>90</v>
      </c>
      <c r="BE139" s="107">
        <v>42486</v>
      </c>
    </row>
    <row r="140" spans="1:57" x14ac:dyDescent="0.2">
      <c r="B140" s="15">
        <v>42376</v>
      </c>
      <c r="C140" s="176">
        <f t="shared" si="32"/>
        <v>7</v>
      </c>
      <c r="D140" s="176">
        <f t="shared" si="33"/>
        <v>1</v>
      </c>
      <c r="E140" s="16" t="str">
        <f>+LOOKUP(D140,'Factor Integración'!$L$4:$L$15,'Factor Integración'!$M$4:$M$15)</f>
        <v>Enero</v>
      </c>
      <c r="F140" s="176">
        <f t="shared" si="34"/>
        <v>2016</v>
      </c>
      <c r="G140" s="2" t="s">
        <v>981</v>
      </c>
      <c r="H140" s="182">
        <f>+IF(Q140&gt;0,(LOOKUP(Q140,Tabulador!C$34:C$93,Tabulador!D$34:D$93)/7),0)</f>
        <v>142.80320000000003</v>
      </c>
      <c r="I140" s="15">
        <f t="shared" ca="1" si="36"/>
        <v>42376</v>
      </c>
      <c r="K140" s="36">
        <v>1.0451999999999999</v>
      </c>
      <c r="L140" s="125">
        <f>+IF(Q140&lt;&gt;0,LOOKUP(Q140,Tabulador!C$33:C$93,Tabulador!D$33:D$93),0)</f>
        <v>999.6224000000002</v>
      </c>
      <c r="M140" s="127" t="str">
        <f>+Tabulador!F52</f>
        <v>(UN MIL  PESOS  00/100 M.N.)</v>
      </c>
      <c r="N140" s="17">
        <f t="shared" si="37"/>
        <v>149.25790464000002</v>
      </c>
      <c r="O140" s="59" t="s">
        <v>27</v>
      </c>
      <c r="P140" s="49" t="s">
        <v>207</v>
      </c>
      <c r="Q140" s="161">
        <v>5.3</v>
      </c>
      <c r="R140" s="1" t="s">
        <v>149</v>
      </c>
      <c r="S140" s="1" t="s">
        <v>879</v>
      </c>
      <c r="T140" s="6" t="s">
        <v>982</v>
      </c>
      <c r="U140" s="6" t="s">
        <v>225</v>
      </c>
      <c r="V140" s="106" t="s">
        <v>247</v>
      </c>
      <c r="W140" s="105" t="s">
        <v>248</v>
      </c>
      <c r="X140" s="138" t="s">
        <v>250</v>
      </c>
      <c r="Y140" s="180">
        <v>52129736709</v>
      </c>
      <c r="Z140" s="2" t="s">
        <v>983</v>
      </c>
      <c r="AA140" s="2" t="s">
        <v>984</v>
      </c>
      <c r="AB140" s="2" t="s">
        <v>253</v>
      </c>
      <c r="AD140" s="15">
        <v>35589</v>
      </c>
      <c r="AE140" s="53">
        <v>18</v>
      </c>
      <c r="AH140" s="110">
        <v>18</v>
      </c>
      <c r="AJ140" s="2" t="s">
        <v>985</v>
      </c>
      <c r="AK140" s="2" t="s">
        <v>986</v>
      </c>
      <c r="AL140" s="2" t="s">
        <v>987</v>
      </c>
      <c r="AM140" s="2" t="s">
        <v>421</v>
      </c>
      <c r="AN140" s="2" t="s">
        <v>257</v>
      </c>
      <c r="AO140" s="2" t="s">
        <v>253</v>
      </c>
      <c r="AP140" s="180">
        <v>28134</v>
      </c>
      <c r="AR140" s="176">
        <v>3131088509</v>
      </c>
      <c r="AU140" s="2" t="s">
        <v>266</v>
      </c>
      <c r="AY140" s="107">
        <v>42376</v>
      </c>
      <c r="BD140" s="180">
        <v>90</v>
      </c>
      <c r="BE140" s="107">
        <v>42467</v>
      </c>
    </row>
    <row r="141" spans="1:57" x14ac:dyDescent="0.2">
      <c r="B141" s="15">
        <v>42412</v>
      </c>
      <c r="C141" s="176">
        <f t="shared" si="32"/>
        <v>12</v>
      </c>
      <c r="D141" s="176">
        <f t="shared" si="33"/>
        <v>2</v>
      </c>
      <c r="E141" s="16" t="str">
        <f>+LOOKUP(D141,'Factor Integración'!$L$4:$L$15,'Factor Integración'!$M$4:$M$15)</f>
        <v>Febrero</v>
      </c>
      <c r="F141" s="176">
        <f t="shared" si="34"/>
        <v>2016</v>
      </c>
      <c r="G141" s="2" t="s">
        <v>988</v>
      </c>
      <c r="H141" s="182">
        <f>+IF(Q141&gt;0,(LOOKUP(Q141,Tabulador!C$34:C$93,Tabulador!D$34:D$93)/7),0)</f>
        <v>128.57142857142858</v>
      </c>
      <c r="I141" s="15">
        <f t="shared" ca="1" si="36"/>
        <v>42412</v>
      </c>
      <c r="K141" s="36">
        <v>1.0451999999999999</v>
      </c>
      <c r="L141" s="125">
        <f>+IF(Q141&lt;&gt;0,LOOKUP(Q141,Tabulador!C$33:C$93,Tabulador!D$33:D$93),0)</f>
        <v>900</v>
      </c>
      <c r="M141" s="127" t="str">
        <f>+Tabulador!F50</f>
        <v>(NOVECIENTOS  PESOS  00/100 M.N.)</v>
      </c>
      <c r="N141" s="17">
        <f t="shared" si="37"/>
        <v>134.38285714285715</v>
      </c>
      <c r="O141" s="59" t="s">
        <v>27</v>
      </c>
      <c r="P141" s="49" t="s">
        <v>207</v>
      </c>
      <c r="Q141" s="161">
        <v>5.0999999999999996</v>
      </c>
      <c r="R141" s="1" t="s">
        <v>972</v>
      </c>
      <c r="S141" s="1" t="s">
        <v>973</v>
      </c>
      <c r="T141" s="6" t="s">
        <v>974</v>
      </c>
      <c r="U141" s="6" t="s">
        <v>225</v>
      </c>
      <c r="V141" s="106" t="s">
        <v>989</v>
      </c>
      <c r="W141" s="105" t="s">
        <v>248</v>
      </c>
      <c r="X141" s="138" t="s">
        <v>250</v>
      </c>
      <c r="Z141" s="2" t="s">
        <v>990</v>
      </c>
      <c r="AA141" s="2" t="s">
        <v>991</v>
      </c>
      <c r="AB141" s="2" t="s">
        <v>253</v>
      </c>
      <c r="AD141" s="15">
        <v>34027</v>
      </c>
      <c r="AE141" s="53">
        <v>23</v>
      </c>
      <c r="AH141" s="110">
        <v>23</v>
      </c>
      <c r="AJ141" s="2" t="s">
        <v>992</v>
      </c>
      <c r="AK141" s="2" t="s">
        <v>993</v>
      </c>
      <c r="AL141" s="2" t="s">
        <v>994</v>
      </c>
      <c r="AM141" s="2" t="s">
        <v>265</v>
      </c>
      <c r="AN141" s="2" t="s">
        <v>257</v>
      </c>
      <c r="AO141" s="2" t="s">
        <v>253</v>
      </c>
      <c r="AP141" s="180">
        <v>28130</v>
      </c>
      <c r="AQ141" s="162">
        <v>3133253473</v>
      </c>
      <c r="AU141" s="2" t="s">
        <v>266</v>
      </c>
      <c r="AY141" s="107">
        <v>42412</v>
      </c>
      <c r="BD141" s="180">
        <v>90</v>
      </c>
      <c r="BE141" s="107">
        <v>42502</v>
      </c>
    </row>
    <row r="142" spans="1:57" x14ac:dyDescent="0.2">
      <c r="B142" s="15">
        <v>42401</v>
      </c>
      <c r="C142" s="176">
        <f t="shared" si="32"/>
        <v>1</v>
      </c>
      <c r="D142" s="176">
        <f t="shared" si="33"/>
        <v>2</v>
      </c>
      <c r="E142" s="16" t="str">
        <f>+LOOKUP(D142,'Factor Integración'!$L$4:$L$15,'Factor Integración'!$M$4:$M$15)</f>
        <v>Febrero</v>
      </c>
      <c r="F142" s="176">
        <f t="shared" si="34"/>
        <v>2016</v>
      </c>
      <c r="G142" s="2" t="s">
        <v>995</v>
      </c>
      <c r="H142" s="182">
        <f>+IF(Q142&gt;0,(LOOKUP(Q142,Tabulador!C$34:C$93,Tabulador!D$34:D$93)/7),0)</f>
        <v>285.71428571428572</v>
      </c>
      <c r="I142" s="15">
        <f t="shared" ca="1" si="36"/>
        <v>42401</v>
      </c>
      <c r="K142" s="36">
        <v>1.0451999999999999</v>
      </c>
      <c r="L142" s="125">
        <f>+IF(Q142&lt;&gt;0,LOOKUP(Q142,Tabulador!C$33:C$93,Tabulador!D$33:D$93),0)</f>
        <v>2000</v>
      </c>
      <c r="M142" s="127" t="str">
        <f>+Tabulador!F66</f>
        <v>(DOS MIL  PESOS  00/100 M.N.)</v>
      </c>
      <c r="N142" s="17">
        <f t="shared" ref="N142" si="38">+H142*K142</f>
        <v>298.62857142857143</v>
      </c>
      <c r="O142" s="59" t="s">
        <v>27</v>
      </c>
      <c r="P142" s="49" t="s">
        <v>207</v>
      </c>
      <c r="Q142" s="161">
        <v>9.1</v>
      </c>
      <c r="R142" s="1" t="s">
        <v>149</v>
      </c>
      <c r="S142" s="1" t="s">
        <v>879</v>
      </c>
      <c r="T142" s="6" t="s">
        <v>219</v>
      </c>
      <c r="U142" s="6" t="s">
        <v>996</v>
      </c>
      <c r="V142" s="106" t="s">
        <v>247</v>
      </c>
      <c r="W142" s="105" t="s">
        <v>248</v>
      </c>
      <c r="X142" s="138" t="s">
        <v>250</v>
      </c>
      <c r="Y142" s="180">
        <v>41088506567</v>
      </c>
      <c r="Z142" s="2" t="s">
        <v>998</v>
      </c>
      <c r="AA142" s="2" t="s">
        <v>997</v>
      </c>
      <c r="AB142" s="2" t="s">
        <v>464</v>
      </c>
      <c r="AD142" s="15">
        <v>31331</v>
      </c>
      <c r="AE142" s="53">
        <v>31</v>
      </c>
      <c r="AH142" s="110">
        <v>31</v>
      </c>
      <c r="AL142" s="2" t="s">
        <v>999</v>
      </c>
      <c r="AM142" s="2" t="s">
        <v>265</v>
      </c>
      <c r="AN142" s="2" t="s">
        <v>257</v>
      </c>
      <c r="AO142" s="2" t="s">
        <v>253</v>
      </c>
      <c r="AP142" s="180">
        <v>28130</v>
      </c>
      <c r="AR142" s="176">
        <v>3133246585</v>
      </c>
      <c r="AU142" s="2" t="s">
        <v>258</v>
      </c>
      <c r="AV142" s="2" t="s">
        <v>1000</v>
      </c>
      <c r="AY142" s="107">
        <v>42401</v>
      </c>
      <c r="BD142" s="180">
        <v>90</v>
      </c>
      <c r="BE142" s="107">
        <v>42491</v>
      </c>
    </row>
    <row r="143" spans="1:57" x14ac:dyDescent="0.2">
      <c r="B143" s="15">
        <v>42390</v>
      </c>
      <c r="C143" s="176">
        <f t="shared" si="32"/>
        <v>21</v>
      </c>
      <c r="D143" s="176">
        <f t="shared" si="33"/>
        <v>1</v>
      </c>
      <c r="E143" s="16" t="str">
        <f>+LOOKUP(D143,'Factor Integración'!$L$4:$L$15,'Factor Integración'!$M$4:$M$15)</f>
        <v>Enero</v>
      </c>
      <c r="F143" s="176">
        <f t="shared" si="34"/>
        <v>2016</v>
      </c>
      <c r="G143" s="2" t="s">
        <v>1009</v>
      </c>
      <c r="H143" s="182">
        <f>+IF(Q143&gt;0,(LOOKUP(Q143,Tabulador!C$34:C$93,Tabulador!D$34:D$93)/7),0)</f>
        <v>128.57142857142858</v>
      </c>
      <c r="I143" s="15">
        <f t="shared" ca="1" si="36"/>
        <v>42390</v>
      </c>
      <c r="K143" s="36">
        <v>1.0451999999999999</v>
      </c>
      <c r="L143" s="125">
        <f>+IF(Q143&lt;&gt;0,LOOKUP(Q143,Tabulador!C$33:C$93,Tabulador!D$33:D$93),0)</f>
        <v>900</v>
      </c>
      <c r="M143" s="127" t="str">
        <f>+Tabulador!F50</f>
        <v>(NOVECIENTOS  PESOS  00/100 M.N.)</v>
      </c>
      <c r="N143" s="17">
        <f t="shared" ref="N143" si="39">+H143*K143</f>
        <v>134.38285714285715</v>
      </c>
      <c r="O143" s="59" t="s">
        <v>27</v>
      </c>
      <c r="P143" s="49" t="s">
        <v>207</v>
      </c>
      <c r="Q143" s="161">
        <v>5.0999999999999996</v>
      </c>
      <c r="R143" s="1" t="s">
        <v>972</v>
      </c>
      <c r="S143" s="1" t="s">
        <v>973</v>
      </c>
      <c r="T143" s="6" t="s">
        <v>974</v>
      </c>
      <c r="U143" s="6" t="s">
        <v>225</v>
      </c>
      <c r="V143" s="106" t="s">
        <v>247</v>
      </c>
      <c r="W143" s="105" t="s">
        <v>248</v>
      </c>
      <c r="X143" s="138" t="s">
        <v>250</v>
      </c>
      <c r="Z143" s="2" t="s">
        <v>1010</v>
      </c>
      <c r="AA143" s="2" t="s">
        <v>1011</v>
      </c>
      <c r="AB143" s="2" t="s">
        <v>253</v>
      </c>
      <c r="AD143" s="15">
        <v>35380</v>
      </c>
      <c r="AE143" s="53">
        <v>19</v>
      </c>
      <c r="AH143" s="110">
        <v>19</v>
      </c>
      <c r="AJ143" s="2" t="s">
        <v>1012</v>
      </c>
      <c r="AK143" s="2" t="s">
        <v>1013</v>
      </c>
      <c r="AL143" s="2" t="s">
        <v>1014</v>
      </c>
      <c r="AM143" s="2" t="s">
        <v>1015</v>
      </c>
      <c r="AN143" s="2" t="s">
        <v>257</v>
      </c>
      <c r="AO143" s="2" t="s">
        <v>253</v>
      </c>
      <c r="AP143" s="180">
        <v>28110</v>
      </c>
      <c r="AR143" s="176">
        <v>3139616660</v>
      </c>
      <c r="AU143" s="2" t="s">
        <v>266</v>
      </c>
      <c r="AY143" s="107">
        <v>42390</v>
      </c>
      <c r="BD143" s="180">
        <v>90</v>
      </c>
      <c r="BE143" s="107">
        <v>42481</v>
      </c>
    </row>
    <row r="144" spans="1:57" x14ac:dyDescent="0.2">
      <c r="B144" s="15">
        <v>42396</v>
      </c>
      <c r="C144" s="176">
        <f t="shared" si="32"/>
        <v>27</v>
      </c>
      <c r="D144" s="176">
        <f t="shared" si="33"/>
        <v>1</v>
      </c>
      <c r="E144" s="16" t="str">
        <f>+LOOKUP(D144,'Factor Integración'!$L$4:$L$15,'Factor Integración'!$M$4:$M$15)</f>
        <v>Enero</v>
      </c>
      <c r="F144" s="176">
        <f t="shared" si="34"/>
        <v>2016</v>
      </c>
      <c r="G144" s="2" t="s">
        <v>1016</v>
      </c>
      <c r="H144" s="182">
        <f>+IF(Q144&gt;0,(LOOKUP(Q144,Tabulador!C$34:C$93,Tabulador!D$34:D$93)/7),0)</f>
        <v>142.80320000000003</v>
      </c>
      <c r="I144" s="15">
        <f t="shared" ca="1" si="36"/>
        <v>42396</v>
      </c>
      <c r="K144" s="36">
        <v>1.0451999999999999</v>
      </c>
      <c r="L144" s="125">
        <f>+IF(Q144&lt;&gt;0,LOOKUP(Q144,Tabulador!C$33:C$93,Tabulador!D$33:D$93),0)</f>
        <v>999.6224000000002</v>
      </c>
      <c r="M144" s="127" t="str">
        <f>+Tabulador!F52</f>
        <v>(UN MIL  PESOS  00/100 M.N.)</v>
      </c>
      <c r="N144" s="17">
        <f t="shared" ref="N144:N145" si="40">+H144*K144</f>
        <v>149.25790464000002</v>
      </c>
      <c r="O144" s="59" t="s">
        <v>27</v>
      </c>
      <c r="P144" s="49" t="s">
        <v>207</v>
      </c>
      <c r="Q144" s="161">
        <v>5.3</v>
      </c>
      <c r="R144" s="1" t="s">
        <v>881</v>
      </c>
      <c r="S144" s="1" t="s">
        <v>1017</v>
      </c>
      <c r="T144" s="6" t="s">
        <v>212</v>
      </c>
      <c r="U144" s="6" t="s">
        <v>1018</v>
      </c>
      <c r="V144" s="106" t="s">
        <v>247</v>
      </c>
      <c r="W144" s="105" t="s">
        <v>248</v>
      </c>
      <c r="X144" s="138" t="s">
        <v>250</v>
      </c>
      <c r="Z144" s="2" t="s">
        <v>1019</v>
      </c>
      <c r="AA144" s="2" t="s">
        <v>1020</v>
      </c>
      <c r="AB144" s="2" t="s">
        <v>253</v>
      </c>
      <c r="AD144" s="15">
        <v>32049</v>
      </c>
      <c r="AE144" s="53">
        <v>28</v>
      </c>
      <c r="AH144" s="110">
        <v>28</v>
      </c>
      <c r="AJ144" s="2" t="s">
        <v>1021</v>
      </c>
      <c r="AK144" s="2" t="s">
        <v>1022</v>
      </c>
      <c r="AL144" s="2" t="s">
        <v>1023</v>
      </c>
      <c r="AM144" s="2" t="s">
        <v>1024</v>
      </c>
      <c r="AN144" s="2" t="s">
        <v>257</v>
      </c>
      <c r="AO144" s="2" t="s">
        <v>253</v>
      </c>
      <c r="AP144" s="180">
        <v>28140</v>
      </c>
      <c r="AR144" s="176">
        <v>3131134650</v>
      </c>
      <c r="AU144" s="2" t="s">
        <v>266</v>
      </c>
      <c r="AY144" s="107">
        <v>42396</v>
      </c>
      <c r="BD144" s="180">
        <v>90</v>
      </c>
      <c r="BE144" s="107">
        <v>42487</v>
      </c>
    </row>
    <row r="145" spans="2:63" x14ac:dyDescent="0.2">
      <c r="B145" s="15">
        <v>42424</v>
      </c>
      <c r="C145" s="176">
        <f t="shared" si="32"/>
        <v>24</v>
      </c>
      <c r="D145" s="176">
        <f t="shared" si="33"/>
        <v>2</v>
      </c>
      <c r="E145" s="16" t="str">
        <f>+LOOKUP(D145,'Factor Integración'!$L$4:$L$15,'Factor Integración'!$M$4:$M$15)</f>
        <v>Febrero</v>
      </c>
      <c r="F145" s="176">
        <f t="shared" si="34"/>
        <v>2016</v>
      </c>
      <c r="G145" s="2" t="s">
        <v>1028</v>
      </c>
      <c r="H145" s="182">
        <f>+IF(Q145&gt;0,(LOOKUP(Q145,Tabulador!C$34:C$93,Tabulador!D$34:D$93)/7),0)</f>
        <v>128.57142857142858</v>
      </c>
      <c r="I145" s="15">
        <f t="shared" ca="1" si="36"/>
        <v>42424</v>
      </c>
      <c r="K145" s="36">
        <v>1.0451999999999999</v>
      </c>
      <c r="L145" s="125">
        <f>+IF(Q145&lt;&gt;0,LOOKUP(Q145,Tabulador!C$33:C$93,Tabulador!D$33:D$93),0)</f>
        <v>900</v>
      </c>
      <c r="M145" s="127" t="str">
        <f>+M143</f>
        <v>(NOVECIENTOS  PESOS  00/100 M.N.)</v>
      </c>
      <c r="N145" s="17">
        <f t="shared" si="40"/>
        <v>134.38285714285715</v>
      </c>
      <c r="O145" s="59" t="s">
        <v>27</v>
      </c>
      <c r="P145" s="49" t="s">
        <v>207</v>
      </c>
      <c r="Q145" s="161">
        <v>5.0999999999999996</v>
      </c>
      <c r="R145" s="1" t="s">
        <v>972</v>
      </c>
      <c r="S145" s="1" t="s">
        <v>973</v>
      </c>
      <c r="T145" s="6" t="s">
        <v>974</v>
      </c>
      <c r="U145" s="6" t="s">
        <v>225</v>
      </c>
      <c r="V145" s="106" t="s">
        <v>247</v>
      </c>
      <c r="W145" s="105" t="s">
        <v>248</v>
      </c>
      <c r="X145" s="138" t="s">
        <v>250</v>
      </c>
      <c r="Z145" s="2" t="s">
        <v>1029</v>
      </c>
      <c r="AA145" s="2" t="s">
        <v>1030</v>
      </c>
      <c r="AB145" s="2" t="s">
        <v>253</v>
      </c>
      <c r="AD145" s="15">
        <v>24016</v>
      </c>
      <c r="AE145" s="53">
        <v>51</v>
      </c>
      <c r="AH145" s="110">
        <v>51</v>
      </c>
      <c r="AL145" s="2" t="s">
        <v>1031</v>
      </c>
      <c r="AM145" s="2" t="s">
        <v>363</v>
      </c>
      <c r="AN145" s="2" t="s">
        <v>257</v>
      </c>
      <c r="AO145" s="2" t="s">
        <v>253</v>
      </c>
      <c r="AP145" s="180">
        <v>28180</v>
      </c>
      <c r="AQ145" s="162">
        <v>3123254098</v>
      </c>
      <c r="AR145" s="176">
        <v>3131370343</v>
      </c>
      <c r="AU145" s="2" t="s">
        <v>1032</v>
      </c>
      <c r="AY145" s="107">
        <v>42424</v>
      </c>
      <c r="BD145" s="180">
        <v>90</v>
      </c>
      <c r="BE145" s="107">
        <v>42424</v>
      </c>
    </row>
    <row r="146" spans="2:63" x14ac:dyDescent="0.2">
      <c r="B146" s="15">
        <v>42335</v>
      </c>
      <c r="C146" s="176">
        <f t="shared" si="32"/>
        <v>27</v>
      </c>
      <c r="D146" s="176">
        <f t="shared" si="33"/>
        <v>11</v>
      </c>
      <c r="E146" s="16" t="str">
        <f>+LOOKUP(D146,'Factor Integración'!$L$4:$L$15,'Factor Integración'!$M$4:$M$15)</f>
        <v>Noviembre</v>
      </c>
      <c r="F146" s="176">
        <f t="shared" si="34"/>
        <v>2015</v>
      </c>
      <c r="G146" s="2" t="s">
        <v>1033</v>
      </c>
      <c r="H146" s="182">
        <f>+IF(Q146&gt;0,(LOOKUP(Q146,Tabulador!C$34:C$93,Tabulador!D$34:D$93)/7),0)</f>
        <v>185.64285714285714</v>
      </c>
      <c r="I146" s="15">
        <f t="shared" ca="1" si="36"/>
        <v>42335</v>
      </c>
      <c r="K146" s="36">
        <v>1.0451999999999999</v>
      </c>
      <c r="L146" s="125">
        <f>+IF(Q146&lt;&gt;0,LOOKUP(Q146,Tabulador!C$33:C$93,Tabulador!D$33:D$93),0)</f>
        <v>1299.5</v>
      </c>
      <c r="M146" s="127" t="str">
        <f>+Tabulador!F56</f>
        <v>(UN MIL TRESCIENTOS  PESOS  00/100 M.N.)</v>
      </c>
      <c r="N146" s="17">
        <f t="shared" ref="N146" si="41">+H146*K146</f>
        <v>194.03391428571427</v>
      </c>
      <c r="O146" s="59" t="s">
        <v>27</v>
      </c>
      <c r="P146" s="49" t="s">
        <v>207</v>
      </c>
      <c r="Q146" s="161">
        <v>6.3</v>
      </c>
      <c r="R146" s="1" t="s">
        <v>1034</v>
      </c>
      <c r="S146" s="1" t="s">
        <v>1035</v>
      </c>
      <c r="T146" s="6" t="s">
        <v>215</v>
      </c>
      <c r="U146" s="6" t="s">
        <v>684</v>
      </c>
      <c r="V146" s="106" t="s">
        <v>247</v>
      </c>
      <c r="W146" s="105" t="s">
        <v>248</v>
      </c>
      <c r="Z146" s="2" t="s">
        <v>1049</v>
      </c>
      <c r="AA146" t="s">
        <v>1050</v>
      </c>
      <c r="AB146" s="2" t="s">
        <v>480</v>
      </c>
      <c r="AD146" s="15">
        <v>32405</v>
      </c>
      <c r="AE146" s="53">
        <v>27</v>
      </c>
      <c r="AH146" s="110">
        <v>27</v>
      </c>
      <c r="AJ146" s="2" t="s">
        <v>1051</v>
      </c>
      <c r="AK146" s="2" t="s">
        <v>1052</v>
      </c>
      <c r="AL146" s="2" t="s">
        <v>1053</v>
      </c>
      <c r="AM146" s="2" t="s">
        <v>311</v>
      </c>
      <c r="AN146" s="2" t="s">
        <v>257</v>
      </c>
      <c r="AO146" s="2" t="s">
        <v>253</v>
      </c>
      <c r="AP146" s="180">
        <v>28164</v>
      </c>
      <c r="AR146" s="176">
        <v>3139621292</v>
      </c>
      <c r="AU146" s="2" t="s">
        <v>258</v>
      </c>
      <c r="AV146" s="2" t="s">
        <v>1054</v>
      </c>
      <c r="AY146" s="107">
        <v>42335</v>
      </c>
      <c r="BD146" s="180">
        <v>90</v>
      </c>
      <c r="BE146" s="107">
        <v>42427</v>
      </c>
      <c r="BJ146" s="107">
        <v>42428</v>
      </c>
      <c r="BK146" s="107">
        <v>42518</v>
      </c>
    </row>
    <row r="147" spans="2:63" x14ac:dyDescent="0.2">
      <c r="B147" s="15">
        <v>42423</v>
      </c>
      <c r="C147" s="176">
        <f t="shared" si="32"/>
        <v>23</v>
      </c>
      <c r="D147" s="176">
        <f t="shared" si="33"/>
        <v>2</v>
      </c>
      <c r="E147" s="16" t="str">
        <f>+LOOKUP(D147,'Factor Integración'!$L$4:$L$15,'Factor Integración'!$M$4:$M$15)</f>
        <v>Febrero</v>
      </c>
      <c r="F147" s="176">
        <f t="shared" si="34"/>
        <v>2016</v>
      </c>
      <c r="G147" s="2" t="s">
        <v>1036</v>
      </c>
      <c r="H147" s="182">
        <f>+IF(Q147&gt;0,(LOOKUP(Q147,Tabulador!C$34:C$93,Tabulador!D$34:D$93)/7),0)</f>
        <v>178.57142857142858</v>
      </c>
      <c r="I147" s="15">
        <f t="shared" ca="1" si="36"/>
        <v>42423</v>
      </c>
      <c r="K147" s="36">
        <v>1.0451999999999999</v>
      </c>
      <c r="L147" s="125">
        <f>+IF(Q147&lt;&gt;0,LOOKUP(Q147,Tabulador!C$33:C$93,Tabulador!D$33:D$93),0)</f>
        <v>1250</v>
      </c>
      <c r="M147" s="127" t="str">
        <f>+Tabulador!F55</f>
        <v>(UN MIL DOSCIENTOS CINCUENTA  PESOS  00/100 M.N.)</v>
      </c>
      <c r="N147" s="17">
        <f t="shared" ref="N147" si="42">+H147*K147</f>
        <v>186.64285714285714</v>
      </c>
      <c r="O147" s="59" t="s">
        <v>27</v>
      </c>
      <c r="P147" s="49" t="s">
        <v>207</v>
      </c>
      <c r="Q147" s="161">
        <v>6.2</v>
      </c>
      <c r="R147" s="1" t="s">
        <v>881</v>
      </c>
      <c r="S147" s="1" t="s">
        <v>880</v>
      </c>
      <c r="T147" s="6" t="s">
        <v>212</v>
      </c>
      <c r="U147" s="6" t="s">
        <v>1018</v>
      </c>
      <c r="V147" s="106" t="s">
        <v>247</v>
      </c>
      <c r="W147" s="105" t="s">
        <v>248</v>
      </c>
      <c r="Z147" s="2" t="s">
        <v>1037</v>
      </c>
      <c r="AA147" s="2" t="s">
        <v>1038</v>
      </c>
      <c r="AB147" s="2" t="s">
        <v>253</v>
      </c>
      <c r="AD147" s="15">
        <v>32983</v>
      </c>
      <c r="AE147" s="53">
        <v>25</v>
      </c>
      <c r="AH147" s="110">
        <v>25</v>
      </c>
      <c r="AL147" s="2" t="s">
        <v>1039</v>
      </c>
      <c r="AM147" s="2" t="s">
        <v>348</v>
      </c>
      <c r="AN147" s="2" t="s">
        <v>257</v>
      </c>
      <c r="AO147" s="2" t="s">
        <v>253</v>
      </c>
      <c r="AP147" s="180">
        <v>28190</v>
      </c>
      <c r="AQ147" s="162">
        <v>3133241247</v>
      </c>
      <c r="AR147" s="176">
        <v>3131003570</v>
      </c>
      <c r="AY147" s="107">
        <v>42423</v>
      </c>
      <c r="BD147" s="180">
        <v>90</v>
      </c>
      <c r="BE147" s="107">
        <v>42513</v>
      </c>
    </row>
    <row r="148" spans="2:63" x14ac:dyDescent="0.2">
      <c r="B148" s="15">
        <v>42387</v>
      </c>
      <c r="C148" s="176">
        <f t="shared" si="32"/>
        <v>18</v>
      </c>
      <c r="D148" s="176">
        <f t="shared" si="33"/>
        <v>1</v>
      </c>
      <c r="E148" s="16" t="str">
        <f>+LOOKUP(D148,'Factor Integración'!$L$4:$L$15,'Factor Integración'!$M$4:$M$15)</f>
        <v>Enero</v>
      </c>
      <c r="F148" s="176">
        <f t="shared" si="34"/>
        <v>2016</v>
      </c>
      <c r="G148" s="2" t="s">
        <v>1040</v>
      </c>
      <c r="H148" s="182">
        <f>+IF(Q148&gt;0,(LOOKUP(Q148,Tabulador!C$34:C$93,Tabulador!D$34:D$93)/7),0)</f>
        <v>178.57142857142858</v>
      </c>
      <c r="I148" s="15">
        <f t="shared" ca="1" si="36"/>
        <v>42387</v>
      </c>
      <c r="K148" s="36">
        <v>1.0451999999999999</v>
      </c>
      <c r="L148" s="125">
        <f>+IF(Q148&lt;&gt;0,LOOKUP(Q148,Tabulador!C$33:C$93,Tabulador!D$33:D$93),0)</f>
        <v>1250</v>
      </c>
      <c r="M148" s="127" t="str">
        <f>+M147</f>
        <v>(UN MIL DOSCIENTOS CINCUENTA  PESOS  00/100 M.N.)</v>
      </c>
      <c r="N148" s="17">
        <f t="shared" ref="N148" si="43">+H148*K148</f>
        <v>186.64285714285714</v>
      </c>
      <c r="O148" s="59" t="s">
        <v>27</v>
      </c>
      <c r="P148" s="49" t="s">
        <v>207</v>
      </c>
      <c r="Q148" s="161">
        <v>6.2</v>
      </c>
      <c r="R148" s="1" t="s">
        <v>881</v>
      </c>
      <c r="S148" s="1" t="s">
        <v>880</v>
      </c>
      <c r="T148" s="6" t="s">
        <v>212</v>
      </c>
      <c r="U148" s="6" t="s">
        <v>1018</v>
      </c>
      <c r="V148" s="106" t="s">
        <v>247</v>
      </c>
      <c r="W148" s="105" t="s">
        <v>248</v>
      </c>
      <c r="Z148" s="2" t="s">
        <v>1041</v>
      </c>
      <c r="AA148" s="2" t="s">
        <v>1042</v>
      </c>
      <c r="AB148" s="2" t="s">
        <v>253</v>
      </c>
      <c r="AD148" s="15">
        <v>33500</v>
      </c>
      <c r="AE148" s="53">
        <v>24</v>
      </c>
      <c r="AH148" s="110">
        <v>24</v>
      </c>
      <c r="AL148" s="2" t="s">
        <v>1043</v>
      </c>
      <c r="AM148" s="2" t="s">
        <v>834</v>
      </c>
      <c r="AN148" s="2" t="s">
        <v>257</v>
      </c>
      <c r="AO148" s="2" t="s">
        <v>253</v>
      </c>
      <c r="AP148" s="180">
        <v>28160</v>
      </c>
      <c r="AQ148" s="162">
        <v>3133248102</v>
      </c>
      <c r="AR148" s="176">
        <v>3131029545</v>
      </c>
      <c r="AY148" s="107">
        <v>42387</v>
      </c>
      <c r="BD148" s="180">
        <v>90</v>
      </c>
      <c r="BE148" s="107">
        <v>42478</v>
      </c>
    </row>
    <row r="149" spans="2:63" x14ac:dyDescent="0.2">
      <c r="B149" s="15">
        <v>42328</v>
      </c>
      <c r="C149" s="176">
        <f t="shared" si="32"/>
        <v>20</v>
      </c>
      <c r="D149" s="176">
        <f t="shared" si="33"/>
        <v>11</v>
      </c>
      <c r="E149" s="16" t="str">
        <f>+LOOKUP(D149,'Factor Integración'!$L$4:$L$15,'Factor Integración'!$M$4:$M$15)</f>
        <v>Noviembre</v>
      </c>
      <c r="F149" s="176">
        <f t="shared" si="34"/>
        <v>2015</v>
      </c>
      <c r="G149" s="2" t="s">
        <v>1044</v>
      </c>
      <c r="H149" s="182">
        <f>+IF(Q149&gt;0,(LOOKUP(Q149,Tabulador!C$34:C$93,Tabulador!D$34:D$93)/7),0)</f>
        <v>178.57142857142858</v>
      </c>
      <c r="I149" s="15">
        <f t="shared" ca="1" si="36"/>
        <v>42328</v>
      </c>
      <c r="K149" s="36">
        <v>1.0451999999999999</v>
      </c>
      <c r="L149" s="125">
        <f>+IF(Q149&lt;&gt;0,LOOKUP(Q149,Tabulador!C$33:C$93,Tabulador!D$33:D$93),0)</f>
        <v>1250</v>
      </c>
      <c r="M149" s="127" t="str">
        <f>+M148</f>
        <v>(UN MIL DOSCIENTOS CINCUENTA  PESOS  00/100 M.N.)</v>
      </c>
      <c r="N149" s="17">
        <f t="shared" ref="N149" si="44">+H149*K149</f>
        <v>186.64285714285714</v>
      </c>
      <c r="O149" s="59" t="s">
        <v>27</v>
      </c>
      <c r="P149" s="49" t="s">
        <v>207</v>
      </c>
      <c r="Q149" s="161">
        <v>6.2</v>
      </c>
      <c r="R149" s="1" t="s">
        <v>881</v>
      </c>
      <c r="S149" s="1" t="s">
        <v>880</v>
      </c>
      <c r="T149" s="6" t="s">
        <v>212</v>
      </c>
      <c r="U149" s="6" t="s">
        <v>1018</v>
      </c>
      <c r="V149" s="106" t="s">
        <v>247</v>
      </c>
      <c r="W149" s="105" t="s">
        <v>248</v>
      </c>
      <c r="Z149" s="2" t="s">
        <v>1045</v>
      </c>
      <c r="AA149" s="2" t="s">
        <v>1046</v>
      </c>
      <c r="AB149" s="2" t="s">
        <v>253</v>
      </c>
      <c r="AD149" s="15">
        <v>29791</v>
      </c>
      <c r="AE149" s="53">
        <v>34</v>
      </c>
      <c r="AH149" s="110">
        <v>34</v>
      </c>
      <c r="AL149" s="2" t="s">
        <v>806</v>
      </c>
      <c r="AM149" s="2" t="s">
        <v>807</v>
      </c>
      <c r="AN149" s="2" t="s">
        <v>257</v>
      </c>
      <c r="AO149" s="2" t="s">
        <v>253</v>
      </c>
      <c r="AP149" s="180">
        <v>28910</v>
      </c>
      <c r="AR149" s="176">
        <v>3131385344</v>
      </c>
      <c r="AU149" s="2" t="s">
        <v>1047</v>
      </c>
      <c r="AV149" s="2" t="s">
        <v>1048</v>
      </c>
      <c r="AY149" s="107">
        <v>42694</v>
      </c>
      <c r="BD149" s="180">
        <v>90</v>
      </c>
      <c r="BE149" s="107">
        <v>42449</v>
      </c>
    </row>
    <row r="150" spans="2:63" x14ac:dyDescent="0.2">
      <c r="B150" s="15">
        <v>42429</v>
      </c>
      <c r="C150" s="176">
        <f t="shared" si="32"/>
        <v>29</v>
      </c>
      <c r="D150" s="176">
        <f t="shared" si="33"/>
        <v>2</v>
      </c>
      <c r="E150" s="16" t="str">
        <f>+LOOKUP(D150,'Factor Integración'!$L$4:$L$15,'Factor Integración'!$M$4:$M$15)</f>
        <v>Febrero</v>
      </c>
      <c r="F150" s="176">
        <f t="shared" si="34"/>
        <v>2016</v>
      </c>
      <c r="G150" s="2" t="s">
        <v>1055</v>
      </c>
      <c r="H150" s="182">
        <f>+L150/6</f>
        <v>133.33333333333334</v>
      </c>
      <c r="I150" s="15">
        <f t="shared" ca="1" si="36"/>
        <v>42429</v>
      </c>
      <c r="K150" s="36">
        <v>1.0451999999999999</v>
      </c>
      <c r="L150" s="126">
        <v>800</v>
      </c>
      <c r="M150" s="55" t="s">
        <v>1083</v>
      </c>
      <c r="N150" s="17">
        <f t="shared" ref="N150:N151" si="45">+H150*K150</f>
        <v>139.35999999999999</v>
      </c>
      <c r="O150" s="59" t="s">
        <v>27</v>
      </c>
      <c r="P150" s="49" t="s">
        <v>207</v>
      </c>
      <c r="Q150" s="161">
        <v>5</v>
      </c>
      <c r="R150" s="1" t="s">
        <v>972</v>
      </c>
      <c r="S150" s="1" t="s">
        <v>973</v>
      </c>
      <c r="T150" s="6" t="s">
        <v>974</v>
      </c>
      <c r="U150" s="6" t="s">
        <v>225</v>
      </c>
      <c r="V150" s="106" t="s">
        <v>247</v>
      </c>
      <c r="W150" s="105" t="s">
        <v>248</v>
      </c>
      <c r="Z150" s="2" t="s">
        <v>1115</v>
      </c>
      <c r="AA150" s="2" t="s">
        <v>1116</v>
      </c>
      <c r="AB150" s="2" t="s">
        <v>253</v>
      </c>
      <c r="AD150" s="15">
        <v>34183</v>
      </c>
      <c r="AE150" s="53">
        <v>22</v>
      </c>
      <c r="AH150" s="110">
        <v>22</v>
      </c>
      <c r="AK150" s="2" t="s">
        <v>1056</v>
      </c>
      <c r="AL150" s="2" t="s">
        <v>1057</v>
      </c>
      <c r="AM150" s="2" t="s">
        <v>443</v>
      </c>
      <c r="AN150" s="2" t="s">
        <v>257</v>
      </c>
      <c r="AO150" s="2" t="s">
        <v>253</v>
      </c>
      <c r="AP150" s="180">
        <v>28140</v>
      </c>
      <c r="AR150" s="176">
        <v>3131157123</v>
      </c>
      <c r="AU150" s="2" t="s">
        <v>713</v>
      </c>
      <c r="AY150" s="107">
        <v>42429</v>
      </c>
      <c r="BD150" s="180">
        <v>90</v>
      </c>
      <c r="BE150" s="107">
        <v>42519</v>
      </c>
    </row>
    <row r="151" spans="2:63" x14ac:dyDescent="0.2">
      <c r="B151" s="15">
        <v>42356</v>
      </c>
      <c r="C151" s="176">
        <f t="shared" si="32"/>
        <v>18</v>
      </c>
      <c r="D151" s="176">
        <f t="shared" si="33"/>
        <v>12</v>
      </c>
      <c r="E151" s="16" t="str">
        <f>+LOOKUP(D151,'Factor Integración'!$L$4:$L$15,'Factor Integración'!$M$4:$M$15)</f>
        <v>Diciembre</v>
      </c>
      <c r="F151" s="176">
        <f t="shared" si="34"/>
        <v>2015</v>
      </c>
      <c r="G151" s="2" t="s">
        <v>1058</v>
      </c>
      <c r="H151" s="182">
        <f>+IF(Q151&gt;0,(LOOKUP(Q151,Tabulador!C$34:C$93,Tabulador!D$34:D$93)/7),0)</f>
        <v>285.71428571428572</v>
      </c>
      <c r="I151" s="15">
        <f t="shared" ca="1" si="36"/>
        <v>42356</v>
      </c>
      <c r="K151" s="36">
        <v>1.0451999999999999</v>
      </c>
      <c r="L151" s="125">
        <f>+IF(Q151&lt;&gt;0,LOOKUP(Q151,Tabulador!C$33:C$93,Tabulador!D$33:D$93),0)</f>
        <v>2000</v>
      </c>
      <c r="M151" s="127" t="str">
        <f>+Tabulador!F66</f>
        <v>(DOS MIL  PESOS  00/100 M.N.)</v>
      </c>
      <c r="N151" s="17">
        <f t="shared" si="45"/>
        <v>298.62857142857143</v>
      </c>
      <c r="O151" s="59" t="s">
        <v>27</v>
      </c>
      <c r="P151" s="49" t="s">
        <v>207</v>
      </c>
      <c r="Q151" s="161">
        <v>9.1</v>
      </c>
      <c r="R151" s="1" t="s">
        <v>149</v>
      </c>
      <c r="S151" s="1" t="s">
        <v>879</v>
      </c>
      <c r="T151" s="6" t="s">
        <v>1059</v>
      </c>
      <c r="U151" s="6" t="s">
        <v>1060</v>
      </c>
      <c r="V151" s="106" t="s">
        <v>247</v>
      </c>
      <c r="W151" s="105" t="s">
        <v>248</v>
      </c>
      <c r="Z151" s="2" t="s">
        <v>1061</v>
      </c>
      <c r="AA151" s="2" t="s">
        <v>1062</v>
      </c>
      <c r="AB151" s="2" t="s">
        <v>253</v>
      </c>
      <c r="AD151" s="15">
        <v>32162</v>
      </c>
      <c r="AE151" s="53">
        <v>28</v>
      </c>
      <c r="AH151" s="110">
        <v>28</v>
      </c>
      <c r="AJ151" s="2" t="s">
        <v>1063</v>
      </c>
      <c r="AK151" s="2" t="s">
        <v>1064</v>
      </c>
      <c r="AL151" s="2" t="s">
        <v>1065</v>
      </c>
      <c r="AM151" s="2" t="s">
        <v>1066</v>
      </c>
      <c r="AN151" s="2" t="s">
        <v>253</v>
      </c>
      <c r="AO151" s="2" t="s">
        <v>253</v>
      </c>
      <c r="AP151" s="180">
        <v>28017</v>
      </c>
      <c r="AR151" s="176">
        <v>3121036177</v>
      </c>
      <c r="AU151" s="2" t="s">
        <v>266</v>
      </c>
      <c r="AY151" s="107">
        <v>42722</v>
      </c>
      <c r="BD151" s="180">
        <v>90</v>
      </c>
      <c r="BE151" s="107">
        <v>42447</v>
      </c>
      <c r="BJ151" s="107">
        <v>42448</v>
      </c>
      <c r="BK151" s="107">
        <v>42540</v>
      </c>
    </row>
    <row r="152" spans="2:63" x14ac:dyDescent="0.2">
      <c r="B152" s="15">
        <v>42396</v>
      </c>
      <c r="C152" s="176">
        <f t="shared" si="32"/>
        <v>27</v>
      </c>
      <c r="D152" s="176">
        <f t="shared" si="33"/>
        <v>1</v>
      </c>
      <c r="E152" s="16" t="str">
        <f>+LOOKUP(D152,'Factor Integración'!$L$4:$L$15,'Factor Integración'!$M$4:$M$15)</f>
        <v>Enero</v>
      </c>
      <c r="F152" s="176">
        <f t="shared" si="34"/>
        <v>2016</v>
      </c>
      <c r="G152" s="2" t="s">
        <v>1067</v>
      </c>
      <c r="H152" s="182">
        <f>+IF(Q152&gt;0,(LOOKUP(Q152,Tabulador!C$34:C$93,Tabulador!D$34:D$93)/7),0)</f>
        <v>357.14285714285717</v>
      </c>
      <c r="I152" s="15">
        <f t="shared" ca="1" si="36"/>
        <v>42396</v>
      </c>
      <c r="K152" s="36">
        <v>1.0451999999999999</v>
      </c>
      <c r="L152" s="125">
        <f>+IF(Q152&lt;&gt;0,LOOKUP(Q152,Tabulador!C$33:C$93,Tabulador!D$33:D$93),0)</f>
        <v>2500</v>
      </c>
      <c r="M152" s="127" t="str">
        <f>+Tabulador!F67</f>
        <v>(DOS MIL CIEN  PESOS  00/100 M.N.)</v>
      </c>
      <c r="N152" s="17">
        <f t="shared" ref="N152" si="46">+H152*K152</f>
        <v>373.28571428571428</v>
      </c>
      <c r="O152" s="59" t="s">
        <v>27</v>
      </c>
      <c r="P152" s="49" t="s">
        <v>207</v>
      </c>
      <c r="Q152" s="161">
        <v>10.199999999999999</v>
      </c>
      <c r="R152" s="1" t="s">
        <v>149</v>
      </c>
      <c r="S152" s="1" t="s">
        <v>879</v>
      </c>
      <c r="T152" s="6" t="s">
        <v>1059</v>
      </c>
      <c r="U152" s="6" t="s">
        <v>1068</v>
      </c>
      <c r="V152" s="106" t="s">
        <v>247</v>
      </c>
      <c r="W152" s="105" t="s">
        <v>248</v>
      </c>
      <c r="Z152" s="2" t="s">
        <v>1070</v>
      </c>
      <c r="AA152" s="2" t="s">
        <v>1069</v>
      </c>
      <c r="AB152" s="2" t="s">
        <v>301</v>
      </c>
      <c r="AD152" s="15">
        <v>33405</v>
      </c>
      <c r="AE152" s="53">
        <v>24</v>
      </c>
      <c r="AH152" s="110">
        <v>24</v>
      </c>
      <c r="AL152" s="2" t="s">
        <v>1071</v>
      </c>
      <c r="AM152" s="2" t="s">
        <v>1072</v>
      </c>
      <c r="AN152" s="2" t="s">
        <v>748</v>
      </c>
      <c r="AO152" s="2" t="s">
        <v>253</v>
      </c>
      <c r="AP152" s="180">
        <v>28979</v>
      </c>
      <c r="AR152" s="176">
        <v>3121149981</v>
      </c>
      <c r="AU152" s="2" t="s">
        <v>266</v>
      </c>
      <c r="AY152" s="107">
        <v>42396</v>
      </c>
      <c r="BD152" s="180">
        <v>90</v>
      </c>
      <c r="BE152" s="107">
        <v>42487</v>
      </c>
    </row>
    <row r="153" spans="2:63" x14ac:dyDescent="0.2">
      <c r="B153" s="15">
        <v>42395</v>
      </c>
      <c r="C153" s="176">
        <f t="shared" si="32"/>
        <v>26</v>
      </c>
      <c r="D153" s="176">
        <f t="shared" si="33"/>
        <v>1</v>
      </c>
      <c r="E153" s="16" t="str">
        <f>+LOOKUP(D153,'Factor Integración'!$L$4:$L$15,'Factor Integración'!$M$4:$M$15)</f>
        <v>Enero</v>
      </c>
      <c r="F153" s="176">
        <f t="shared" si="34"/>
        <v>2016</v>
      </c>
      <c r="G153" s="2" t="s">
        <v>1073</v>
      </c>
      <c r="H153" s="182">
        <f>+IF(Q153&gt;0,(LOOKUP(Q153,Tabulador!C$34:C$93,Tabulador!D$34:D$93)/7),0)</f>
        <v>142.80320000000003</v>
      </c>
      <c r="I153" s="15">
        <f t="shared" ca="1" si="36"/>
        <v>42395</v>
      </c>
      <c r="K153" s="36">
        <v>1.0451999999999999</v>
      </c>
      <c r="L153" s="125">
        <f>+IF(Q153&lt;&gt;0,LOOKUP(Q153,Tabulador!C$33:C$93,Tabulador!D$33:D$93),0)</f>
        <v>999.6224000000002</v>
      </c>
      <c r="M153" s="127" t="str">
        <f>+M136</f>
        <v>(UN MIL  PESOS  00/100 M.N.)</v>
      </c>
      <c r="N153" s="17">
        <f t="shared" ref="N153:N156" si="47">+H153*K153</f>
        <v>149.25790464000002</v>
      </c>
      <c r="O153" s="59" t="s">
        <v>27</v>
      </c>
      <c r="P153" s="49" t="s">
        <v>207</v>
      </c>
      <c r="Q153" s="161">
        <v>5.3</v>
      </c>
      <c r="R153" s="1" t="s">
        <v>149</v>
      </c>
      <c r="S153" s="1" t="s">
        <v>879</v>
      </c>
      <c r="T153" s="6" t="s">
        <v>1059</v>
      </c>
      <c r="U153" s="6" t="s">
        <v>225</v>
      </c>
      <c r="V153" s="106" t="s">
        <v>247</v>
      </c>
      <c r="W153" s="105" t="s">
        <v>248</v>
      </c>
      <c r="Z153" s="2" t="s">
        <v>1074</v>
      </c>
      <c r="AA153" s="2" t="s">
        <v>1075</v>
      </c>
      <c r="AB153" s="2" t="s">
        <v>253</v>
      </c>
      <c r="AD153" s="15">
        <v>34656</v>
      </c>
      <c r="AE153" s="53">
        <v>21</v>
      </c>
      <c r="AH153" s="110">
        <v>21</v>
      </c>
      <c r="AL153" s="2" t="s">
        <v>1076</v>
      </c>
      <c r="AM153" s="2" t="s">
        <v>1077</v>
      </c>
      <c r="AN153" s="2" t="s">
        <v>257</v>
      </c>
      <c r="AO153" s="2" t="s">
        <v>253</v>
      </c>
      <c r="AP153" s="180">
        <v>28140</v>
      </c>
      <c r="AR153" s="176">
        <v>3121202840</v>
      </c>
      <c r="AU153" s="2" t="s">
        <v>258</v>
      </c>
      <c r="AY153" s="107">
        <v>42395</v>
      </c>
      <c r="BD153" s="180">
        <v>90</v>
      </c>
      <c r="BE153" s="107">
        <v>42486</v>
      </c>
    </row>
    <row r="154" spans="2:63" x14ac:dyDescent="0.2">
      <c r="B154" s="15">
        <v>42385</v>
      </c>
      <c r="C154" s="176">
        <f t="shared" si="32"/>
        <v>16</v>
      </c>
      <c r="D154" s="176">
        <f t="shared" si="33"/>
        <v>1</v>
      </c>
      <c r="E154" s="16" t="str">
        <f>+LOOKUP(D154,'Factor Integración'!$L$4:$L$15,'Factor Integración'!$M$4:$M$15)</f>
        <v>Enero</v>
      </c>
      <c r="F154" s="176">
        <f t="shared" si="34"/>
        <v>2016</v>
      </c>
      <c r="G154" s="2" t="s">
        <v>1078</v>
      </c>
      <c r="H154" s="182">
        <f>+IF(Q154&gt;0,(LOOKUP(Q154,Tabulador!C$34:C$93,Tabulador!D$34:D$93)/7),0)</f>
        <v>128.57142857142858</v>
      </c>
      <c r="I154" s="15">
        <f t="shared" ca="1" si="36"/>
        <v>42385</v>
      </c>
      <c r="K154" s="36">
        <v>1.0451999999999999</v>
      </c>
      <c r="L154" s="125">
        <f>+IF(Q154&lt;&gt;0,LOOKUP(Q154,Tabulador!C$33:C$93,Tabulador!D$33:D$93),0)</f>
        <v>900</v>
      </c>
      <c r="M154" s="127" t="str">
        <f>+M145</f>
        <v>(NOVECIENTOS  PESOS  00/100 M.N.)</v>
      </c>
      <c r="N154" s="35">
        <f t="shared" si="47"/>
        <v>134.38285714285715</v>
      </c>
      <c r="O154" s="59" t="s">
        <v>27</v>
      </c>
      <c r="P154" s="49" t="s">
        <v>207</v>
      </c>
      <c r="Q154" s="161">
        <v>5.0999999999999996</v>
      </c>
      <c r="R154" s="1" t="s">
        <v>972</v>
      </c>
      <c r="S154" s="1" t="s">
        <v>973</v>
      </c>
      <c r="T154" s="6" t="s">
        <v>974</v>
      </c>
      <c r="U154" s="6" t="s">
        <v>225</v>
      </c>
      <c r="V154" s="106" t="s">
        <v>247</v>
      </c>
      <c r="W154" s="105" t="s">
        <v>248</v>
      </c>
      <c r="Z154" s="2" t="s">
        <v>1079</v>
      </c>
      <c r="AA154" s="2" t="s">
        <v>1080</v>
      </c>
      <c r="AB154" s="2" t="s">
        <v>253</v>
      </c>
      <c r="AD154" s="15">
        <v>35391</v>
      </c>
      <c r="AE154" s="53">
        <v>19</v>
      </c>
      <c r="AH154" s="110">
        <v>19</v>
      </c>
      <c r="AL154" s="2" t="s">
        <v>1081</v>
      </c>
      <c r="AM154" s="2" t="s">
        <v>337</v>
      </c>
      <c r="AN154" s="2" t="s">
        <v>257</v>
      </c>
      <c r="AO154" s="2" t="s">
        <v>253</v>
      </c>
      <c r="AP154" s="180">
        <v>28100</v>
      </c>
      <c r="AR154" s="176">
        <v>3139615204</v>
      </c>
      <c r="AU154" s="2" t="s">
        <v>266</v>
      </c>
      <c r="AY154" s="107">
        <v>42385</v>
      </c>
      <c r="BD154" s="180">
        <v>90</v>
      </c>
      <c r="BE154" s="107">
        <v>42476</v>
      </c>
    </row>
    <row r="155" spans="2:63" x14ac:dyDescent="0.2">
      <c r="B155" s="15">
        <v>42401</v>
      </c>
      <c r="C155" s="176">
        <f t="shared" si="32"/>
        <v>1</v>
      </c>
      <c r="D155" s="176">
        <f t="shared" si="33"/>
        <v>2</v>
      </c>
      <c r="E155" s="16" t="str">
        <f>+LOOKUP(D155,'Factor Integración'!$L$4:$L$15,'Factor Integración'!$M$4:$M$15)</f>
        <v>Febrero</v>
      </c>
      <c r="F155" s="176">
        <f t="shared" si="34"/>
        <v>2016</v>
      </c>
      <c r="G155" s="2" t="s">
        <v>1082</v>
      </c>
      <c r="H155" s="182">
        <f>+IF(Q155&gt;0,(LOOKUP(Q155,Tabulador!C$34:C$93,Tabulador!D$34:D$93)/7),0)</f>
        <v>102.375</v>
      </c>
      <c r="I155" s="15">
        <f t="shared" ca="1" si="36"/>
        <v>42401</v>
      </c>
      <c r="K155" s="36">
        <v>1.0451999999999999</v>
      </c>
      <c r="L155" s="126">
        <v>800</v>
      </c>
      <c r="M155" s="55" t="s">
        <v>1083</v>
      </c>
      <c r="N155" s="35">
        <f t="shared" si="47"/>
        <v>107.00234999999999</v>
      </c>
      <c r="O155" s="59" t="s">
        <v>27</v>
      </c>
      <c r="P155" s="49" t="s">
        <v>207</v>
      </c>
      <c r="Q155" s="161">
        <v>5</v>
      </c>
      <c r="R155" s="1" t="s">
        <v>972</v>
      </c>
      <c r="S155" s="1" t="s">
        <v>973</v>
      </c>
      <c r="T155" s="6" t="s">
        <v>974</v>
      </c>
      <c r="U155" s="6" t="s">
        <v>1084</v>
      </c>
      <c r="V155" s="106" t="s">
        <v>247</v>
      </c>
      <c r="W155" s="105" t="s">
        <v>248</v>
      </c>
      <c r="Z155" s="2" t="s">
        <v>1085</v>
      </c>
      <c r="AA155" s="2" t="s">
        <v>1086</v>
      </c>
      <c r="AB155" s="2" t="s">
        <v>253</v>
      </c>
      <c r="AD155" s="15">
        <v>33425</v>
      </c>
      <c r="AE155" s="53">
        <v>24</v>
      </c>
      <c r="AH155" s="110">
        <v>24</v>
      </c>
      <c r="AL155" s="2" t="s">
        <v>1087</v>
      </c>
      <c r="AM155" s="2" t="s">
        <v>1088</v>
      </c>
      <c r="AN155" s="2" t="s">
        <v>257</v>
      </c>
      <c r="AO155" s="2" t="s">
        <v>253</v>
      </c>
      <c r="AP155" s="180">
        <v>28110</v>
      </c>
      <c r="AR155" s="176">
        <v>3137300314</v>
      </c>
      <c r="AU155" s="2" t="s">
        <v>266</v>
      </c>
      <c r="AY155" s="107">
        <v>42401</v>
      </c>
      <c r="BD155" s="180">
        <v>90</v>
      </c>
      <c r="BE155" s="107">
        <v>42461</v>
      </c>
    </row>
    <row r="156" spans="2:63" x14ac:dyDescent="0.2">
      <c r="B156" s="15">
        <v>42401</v>
      </c>
      <c r="C156" s="176">
        <f t="shared" si="32"/>
        <v>1</v>
      </c>
      <c r="D156" s="176">
        <f t="shared" si="33"/>
        <v>2</v>
      </c>
      <c r="E156" s="16" t="str">
        <f>+LOOKUP(D156,'Factor Integración'!$L$4:$L$15,'Factor Integración'!$M$4:$M$15)</f>
        <v>Febrero</v>
      </c>
      <c r="F156" s="176">
        <f t="shared" si="34"/>
        <v>2016</v>
      </c>
      <c r="G156" s="2" t="s">
        <v>1089</v>
      </c>
      <c r="H156" s="182">
        <f>+IF(Q156&gt;0,(LOOKUP(Q156,Tabulador!C$34:C$93,Tabulador!D$34:D$93)/7),0)</f>
        <v>102.375</v>
      </c>
      <c r="I156" s="15">
        <f t="shared" ca="1" si="36"/>
        <v>42401</v>
      </c>
      <c r="K156" s="36">
        <v>1.0451999999999999</v>
      </c>
      <c r="L156" s="126">
        <v>800</v>
      </c>
      <c r="M156" s="55" t="s">
        <v>1083</v>
      </c>
      <c r="N156" s="35">
        <f t="shared" si="47"/>
        <v>107.00234999999999</v>
      </c>
      <c r="O156" s="59" t="s">
        <v>27</v>
      </c>
      <c r="P156" s="49" t="s">
        <v>207</v>
      </c>
      <c r="Q156" s="161">
        <v>5</v>
      </c>
      <c r="R156" s="1" t="s">
        <v>972</v>
      </c>
      <c r="S156" s="1" t="s">
        <v>973</v>
      </c>
      <c r="T156" s="6" t="s">
        <v>974</v>
      </c>
      <c r="U156" s="6" t="s">
        <v>1084</v>
      </c>
      <c r="V156" s="106" t="s">
        <v>247</v>
      </c>
      <c r="W156" s="105" t="s">
        <v>248</v>
      </c>
      <c r="Z156" s="2" t="s">
        <v>1090</v>
      </c>
      <c r="AA156" s="2" t="s">
        <v>1091</v>
      </c>
      <c r="AB156" s="2" t="s">
        <v>253</v>
      </c>
      <c r="AD156" s="15">
        <v>35111</v>
      </c>
      <c r="AE156" s="53">
        <v>20</v>
      </c>
      <c r="AH156" s="110">
        <v>20</v>
      </c>
      <c r="AL156" s="2" t="s">
        <v>1092</v>
      </c>
      <c r="AM156" s="2" t="s">
        <v>447</v>
      </c>
      <c r="AN156" s="2" t="s">
        <v>257</v>
      </c>
      <c r="AO156" s="2" t="s">
        <v>253</v>
      </c>
      <c r="AP156" s="180">
        <v>28150</v>
      </c>
      <c r="AR156" s="176">
        <v>3131220526</v>
      </c>
      <c r="AU156" s="2" t="s">
        <v>266</v>
      </c>
      <c r="AY156" s="107">
        <v>42401</v>
      </c>
      <c r="BD156" s="180">
        <v>90</v>
      </c>
      <c r="BE156" s="107">
        <v>42491</v>
      </c>
    </row>
    <row r="157" spans="2:63" x14ac:dyDescent="0.2">
      <c r="B157" s="15">
        <v>42423</v>
      </c>
      <c r="C157" s="176">
        <f t="shared" si="32"/>
        <v>23</v>
      </c>
      <c r="D157" s="176">
        <f t="shared" si="33"/>
        <v>2</v>
      </c>
      <c r="E157" s="146" t="str">
        <f>+LOOKUP(D157,'Factor Integración'!$L$4:$L$15,'Factor Integración'!$M$4:$M$15)</f>
        <v>Febrero</v>
      </c>
      <c r="F157" s="176">
        <f t="shared" si="34"/>
        <v>2016</v>
      </c>
      <c r="G157" s="2" t="s">
        <v>1093</v>
      </c>
      <c r="H157" s="182">
        <f>+IF(Q157&gt;0,(LOOKUP(Q157,Tabulador!C$34:C$93,Tabulador!D$34:D$93)/7),0)</f>
        <v>142.80320000000003</v>
      </c>
      <c r="I157" s="15">
        <f t="shared" ca="1" si="36"/>
        <v>42423</v>
      </c>
      <c r="K157" s="36">
        <v>1.0451999999999999</v>
      </c>
      <c r="L157" s="125">
        <f>+IF(Q157&lt;&gt;0,LOOKUP(Q157,Tabulador!C$33:C$93,Tabulador!D$33:D$93),0)</f>
        <v>999.6224000000002</v>
      </c>
      <c r="M157" s="55" t="str">
        <f>+M144</f>
        <v>(UN MIL  PESOS  00/100 M.N.)</v>
      </c>
      <c r="N157" s="35">
        <f t="shared" ref="N157" si="48">+H157*K157</f>
        <v>149.25790464000002</v>
      </c>
      <c r="O157" s="59" t="s">
        <v>27</v>
      </c>
      <c r="P157" s="49" t="s">
        <v>207</v>
      </c>
      <c r="Q157" s="161">
        <v>5.3</v>
      </c>
      <c r="R157" s="1" t="s">
        <v>149</v>
      </c>
      <c r="S157" s="1" t="s">
        <v>879</v>
      </c>
      <c r="T157" s="6" t="s">
        <v>1059</v>
      </c>
      <c r="U157" s="6" t="s">
        <v>225</v>
      </c>
      <c r="V157" s="106" t="s">
        <v>247</v>
      </c>
      <c r="W157" s="105" t="s">
        <v>248</v>
      </c>
      <c r="Z157" s="2" t="s">
        <v>1094</v>
      </c>
      <c r="AA157" s="2" t="s">
        <v>1095</v>
      </c>
      <c r="AB157" s="2" t="s">
        <v>253</v>
      </c>
      <c r="AD157" s="15">
        <v>27149</v>
      </c>
      <c r="AE157" s="53">
        <v>42</v>
      </c>
      <c r="AH157" s="110">
        <v>42</v>
      </c>
      <c r="AL157" s="2" t="s">
        <v>1096</v>
      </c>
      <c r="AM157" s="2" t="s">
        <v>898</v>
      </c>
      <c r="AN157" s="2" t="s">
        <v>257</v>
      </c>
      <c r="AO157" s="2" t="s">
        <v>253</v>
      </c>
      <c r="AP157" s="180">
        <v>28930</v>
      </c>
      <c r="AR157" s="176">
        <v>3131265136</v>
      </c>
      <c r="AU157" s="2" t="s">
        <v>258</v>
      </c>
      <c r="AV157" s="2" t="s">
        <v>1097</v>
      </c>
      <c r="AY157" s="107">
        <v>42423</v>
      </c>
      <c r="BD157" s="180">
        <v>90</v>
      </c>
      <c r="BE157" s="107">
        <v>42513</v>
      </c>
    </row>
    <row r="158" spans="2:63" x14ac:dyDescent="0.2">
      <c r="B158" s="15">
        <v>42423</v>
      </c>
      <c r="C158" s="176">
        <f t="shared" si="32"/>
        <v>23</v>
      </c>
      <c r="D158" s="176">
        <f t="shared" si="33"/>
        <v>2</v>
      </c>
      <c r="E158" s="146" t="str">
        <f>+LOOKUP(D158,'Factor Integración'!$L$4:$L$15,'Factor Integración'!$M$4:$M$15)</f>
        <v>Febrero</v>
      </c>
      <c r="F158" s="176">
        <f t="shared" si="34"/>
        <v>2016</v>
      </c>
      <c r="G158" s="2" t="s">
        <v>1098</v>
      </c>
      <c r="H158" s="182">
        <f>+IF(Q158&gt;0,(LOOKUP(Q158,Tabulador!C$34:C$93,Tabulador!D$34:D$93)/7),0)</f>
        <v>171.42857142857142</v>
      </c>
      <c r="I158" s="15">
        <f t="shared" ca="1" si="36"/>
        <v>42423</v>
      </c>
      <c r="K158" s="36">
        <v>1.0451999999999999</v>
      </c>
      <c r="L158" s="125">
        <f>+IF(Q158&lt;&gt;0,LOOKUP(Q158,Tabulador!C$33:C$93,Tabulador!D$33:D$93),0)</f>
        <v>1200</v>
      </c>
      <c r="M158" s="55" t="str">
        <f>+Tabulador!F54</f>
        <v>(UN MIL DOSCIENTOS  PESOS  00/100 M.N.)</v>
      </c>
      <c r="N158" s="35">
        <f t="shared" ref="N158:N159" si="49">+H158*K158</f>
        <v>179.17714285714283</v>
      </c>
      <c r="O158" s="59" t="s">
        <v>27</v>
      </c>
      <c r="P158" s="49" t="s">
        <v>207</v>
      </c>
      <c r="Q158" s="161">
        <v>6.1</v>
      </c>
      <c r="R158" s="1" t="s">
        <v>149</v>
      </c>
      <c r="S158" s="1" t="s">
        <v>879</v>
      </c>
      <c r="T158" s="6" t="s">
        <v>221</v>
      </c>
      <c r="U158" s="6" t="s">
        <v>1099</v>
      </c>
      <c r="V158" s="106" t="s">
        <v>247</v>
      </c>
      <c r="W158" s="105" t="s">
        <v>248</v>
      </c>
      <c r="Z158" s="2" t="s">
        <v>1100</v>
      </c>
      <c r="AA158" s="2" t="s">
        <v>1101</v>
      </c>
      <c r="AB158" s="2" t="s">
        <v>253</v>
      </c>
      <c r="AD158" s="15">
        <v>28825</v>
      </c>
      <c r="AE158" s="53">
        <v>37</v>
      </c>
      <c r="AH158" s="110">
        <v>37</v>
      </c>
      <c r="AJ158" s="2" t="s">
        <v>1105</v>
      </c>
      <c r="AK158" s="2" t="s">
        <v>1106</v>
      </c>
      <c r="AL158" s="2" t="s">
        <v>1102</v>
      </c>
      <c r="AM158" s="2" t="s">
        <v>1103</v>
      </c>
      <c r="AN158" s="2" t="s">
        <v>257</v>
      </c>
      <c r="AO158" s="2" t="s">
        <v>253</v>
      </c>
      <c r="AP158" s="180">
        <v>28123</v>
      </c>
      <c r="AR158" s="176">
        <v>3131185640</v>
      </c>
      <c r="AU158" s="2" t="s">
        <v>258</v>
      </c>
      <c r="AV158" s="2" t="s">
        <v>1104</v>
      </c>
      <c r="AY158" s="107">
        <v>42423</v>
      </c>
      <c r="BD158" s="180">
        <v>90</v>
      </c>
      <c r="BE158" s="107">
        <v>42513</v>
      </c>
    </row>
    <row r="159" spans="2:63" x14ac:dyDescent="0.2">
      <c r="B159" s="15">
        <v>42380</v>
      </c>
      <c r="C159" s="176">
        <f t="shared" si="32"/>
        <v>11</v>
      </c>
      <c r="D159" s="176">
        <f t="shared" si="33"/>
        <v>1</v>
      </c>
      <c r="E159" s="146" t="str">
        <f>+LOOKUP(D159,'Factor Integración'!$L$4:$L$15,'Factor Integración'!$M$4:$M$15)</f>
        <v>Enero</v>
      </c>
      <c r="F159" s="176">
        <f t="shared" si="34"/>
        <v>2016</v>
      </c>
      <c r="G159" s="2" t="s">
        <v>1107</v>
      </c>
      <c r="H159" s="182">
        <f>+IF(Q159&gt;0,(LOOKUP(Q159,Tabulador!C$34:C$93,Tabulador!D$34:D$93)/7),0)</f>
        <v>102.375</v>
      </c>
      <c r="I159" s="15">
        <f t="shared" ca="1" si="36"/>
        <v>42380</v>
      </c>
      <c r="K159" s="36">
        <v>1.0451999999999999</v>
      </c>
      <c r="L159" s="126">
        <v>800</v>
      </c>
      <c r="M159" s="55" t="s">
        <v>1083</v>
      </c>
      <c r="N159" s="35">
        <f t="shared" si="49"/>
        <v>107.00234999999999</v>
      </c>
      <c r="O159" s="59" t="s">
        <v>27</v>
      </c>
      <c r="P159" s="49" t="s">
        <v>207</v>
      </c>
      <c r="Q159" s="161">
        <v>5</v>
      </c>
      <c r="R159" s="1" t="s">
        <v>149</v>
      </c>
      <c r="S159" s="1" t="s">
        <v>879</v>
      </c>
      <c r="T159" s="6" t="s">
        <v>222</v>
      </c>
      <c r="U159" s="6" t="s">
        <v>1108</v>
      </c>
      <c r="V159" s="106" t="s">
        <v>247</v>
      </c>
      <c r="W159" s="105" t="s">
        <v>248</v>
      </c>
      <c r="Z159" s="2" t="s">
        <v>1109</v>
      </c>
      <c r="AA159" s="2" t="s">
        <v>1110</v>
      </c>
      <c r="AB159" s="2" t="s">
        <v>253</v>
      </c>
      <c r="AD159" s="15">
        <v>31790</v>
      </c>
      <c r="AE159" s="53">
        <v>29</v>
      </c>
      <c r="AH159" s="110">
        <v>29</v>
      </c>
      <c r="AJ159" s="2" t="s">
        <v>1111</v>
      </c>
      <c r="AK159" s="2" t="s">
        <v>1112</v>
      </c>
      <c r="AL159" s="2" t="s">
        <v>1113</v>
      </c>
      <c r="AM159" s="2" t="s">
        <v>296</v>
      </c>
      <c r="AN159" s="2" t="s">
        <v>257</v>
      </c>
      <c r="AO159" s="2" t="s">
        <v>253</v>
      </c>
      <c r="AP159" s="180">
        <v>28140</v>
      </c>
      <c r="AR159" s="176">
        <v>3133280954</v>
      </c>
      <c r="AU159" s="2" t="s">
        <v>1047</v>
      </c>
      <c r="AV159" s="2" t="s">
        <v>1114</v>
      </c>
      <c r="AY159" s="107">
        <v>42380</v>
      </c>
      <c r="BD159" s="180">
        <v>90</v>
      </c>
      <c r="BE159" s="107">
        <v>42471</v>
      </c>
    </row>
    <row r="160" spans="2:63" x14ac:dyDescent="0.2">
      <c r="B160" s="15">
        <v>42443</v>
      </c>
      <c r="C160" s="176">
        <f t="shared" si="32"/>
        <v>14</v>
      </c>
      <c r="D160" s="176">
        <f t="shared" si="33"/>
        <v>3</v>
      </c>
      <c r="E160" s="157" t="str">
        <f>+LOOKUP(D160,'Factor Integración'!$L$4:$L$15,'Factor Integración'!$M$4:$M$15)</f>
        <v>Marzo</v>
      </c>
      <c r="F160" s="176">
        <f t="shared" si="34"/>
        <v>2016</v>
      </c>
      <c r="G160" s="2" t="s">
        <v>1117</v>
      </c>
      <c r="H160" s="182">
        <f>+IF(Q160&gt;0,(LOOKUP(Q160,Tabulador!C$34:C$93,Tabulador!D$34:D$93)/7),0)</f>
        <v>0</v>
      </c>
      <c r="I160" s="15">
        <f t="shared" ca="1" si="36"/>
        <v>42443</v>
      </c>
      <c r="K160" s="36">
        <v>1.0451999999999999</v>
      </c>
      <c r="O160" s="59" t="s">
        <v>27</v>
      </c>
      <c r="P160" s="49" t="s">
        <v>207</v>
      </c>
      <c r="R160" s="1" t="s">
        <v>149</v>
      </c>
      <c r="S160" s="1" t="s">
        <v>879</v>
      </c>
      <c r="T160" s="6" t="s">
        <v>1059</v>
      </c>
      <c r="U160" s="6" t="s">
        <v>243</v>
      </c>
      <c r="V160" s="106" t="s">
        <v>247</v>
      </c>
      <c r="W160" s="105" t="s">
        <v>248</v>
      </c>
    </row>
    <row r="161" spans="2:57" x14ac:dyDescent="0.2">
      <c r="B161" s="15">
        <v>42447</v>
      </c>
      <c r="C161" s="176">
        <f t="shared" ref="C161:C193" si="50">+DAY(B161)</f>
        <v>18</v>
      </c>
      <c r="D161" s="176">
        <f t="shared" ref="D161:D193" si="51">+MONTH(B161)</f>
        <v>3</v>
      </c>
      <c r="E161" s="157" t="str">
        <f>+LOOKUP(D161,'Factor Integración'!$L$4:$L$15,'Factor Integración'!$M$4:$M$15)</f>
        <v>Marzo</v>
      </c>
      <c r="F161" s="176">
        <f t="shared" ref="F161:F193" si="52">+YEAR(B161)</f>
        <v>2016</v>
      </c>
      <c r="G161" s="2" t="s">
        <v>1118</v>
      </c>
      <c r="H161" s="182">
        <f>+IF(Q161&gt;0,(LOOKUP(Q161,Tabulador!C$34:C$93,Tabulador!D$34:D$93)/7),0)</f>
        <v>142.80320000000003</v>
      </c>
      <c r="I161" s="15">
        <f t="shared" ref="I161:I193" ca="1" si="53">IF(B161&lt;&gt;"",IF(DATE(YEAR(I$1),MONTH(B161),DAY(B161))&lt;TODAY(),DATE(YEAR(I$1),MONTH(B161),DAY(B161)),DATE(YEAR(I$1)-1,MONTH(B161),DAY(B161))),"")</f>
        <v>42447</v>
      </c>
      <c r="K161" s="36">
        <v>1.0451999999999999</v>
      </c>
      <c r="L161" s="125">
        <f>+IF(Q161&lt;&gt;0,LOOKUP(Q161,Tabulador!C$33:C$93,Tabulador!D$33:D$93),0)</f>
        <v>999.6224000000002</v>
      </c>
      <c r="M161" s="55" t="s">
        <v>1122</v>
      </c>
      <c r="N161" s="35">
        <f>+H161*K161</f>
        <v>149.25790464000002</v>
      </c>
      <c r="O161" s="59" t="s">
        <v>27</v>
      </c>
      <c r="P161" s="49" t="s">
        <v>207</v>
      </c>
      <c r="Q161" s="161">
        <v>5.3</v>
      </c>
      <c r="R161" s="1" t="s">
        <v>881</v>
      </c>
      <c r="S161" s="1" t="s">
        <v>880</v>
      </c>
      <c r="T161" s="6" t="s">
        <v>212</v>
      </c>
      <c r="U161" s="6" t="s">
        <v>1018</v>
      </c>
      <c r="V161" s="106" t="s">
        <v>247</v>
      </c>
      <c r="W161" s="105" t="s">
        <v>248</v>
      </c>
      <c r="Z161" s="2" t="s">
        <v>1119</v>
      </c>
      <c r="AA161" s="2" t="s">
        <v>1120</v>
      </c>
      <c r="AB161" s="2" t="s">
        <v>301</v>
      </c>
      <c r="AD161" s="15">
        <v>33673</v>
      </c>
      <c r="AE161" s="53">
        <v>24</v>
      </c>
      <c r="AH161" s="110">
        <v>24</v>
      </c>
      <c r="AJ161" s="2" t="s">
        <v>777</v>
      </c>
      <c r="AK161" s="2" t="s">
        <v>778</v>
      </c>
      <c r="AL161" s="2" t="s">
        <v>1121</v>
      </c>
      <c r="AM161" s="2" t="s">
        <v>432</v>
      </c>
      <c r="AN161" s="2" t="s">
        <v>285</v>
      </c>
      <c r="AO161" s="2" t="s">
        <v>253</v>
      </c>
      <c r="AP161" s="180">
        <v>28120</v>
      </c>
      <c r="AR161" s="176">
        <v>3137304037</v>
      </c>
      <c r="AU161" s="2" t="s">
        <v>266</v>
      </c>
      <c r="AY161" s="107">
        <v>42447</v>
      </c>
      <c r="BD161" s="180">
        <v>90</v>
      </c>
      <c r="BE161" s="107">
        <f t="shared" ref="BE161:BE177" si="54">+AY161+BD161</f>
        <v>42537</v>
      </c>
    </row>
    <row r="162" spans="2:57" x14ac:dyDescent="0.2">
      <c r="B162" s="15">
        <v>42459</v>
      </c>
      <c r="C162" s="176">
        <f t="shared" si="50"/>
        <v>30</v>
      </c>
      <c r="D162" s="176">
        <f t="shared" si="51"/>
        <v>3</v>
      </c>
      <c r="E162" s="157" t="str">
        <f>+LOOKUP(D162,'Factor Integración'!$L$4:$L$15,'Factor Integración'!$M$4:$M$15)</f>
        <v>Marzo</v>
      </c>
      <c r="F162" s="176">
        <f t="shared" si="52"/>
        <v>2016</v>
      </c>
      <c r="G162" s="2" t="s">
        <v>1123</v>
      </c>
      <c r="H162" s="182">
        <f>+IF(Q162&gt;0,(LOOKUP(Q162,Tabulador!C$34:C$93,Tabulador!D$34:D$93)/7),0)</f>
        <v>128.57142857142858</v>
      </c>
      <c r="I162" s="15">
        <f t="shared" ca="1" si="53"/>
        <v>42459</v>
      </c>
      <c r="K162" s="36">
        <v>1.0451999999999999</v>
      </c>
      <c r="L162" s="125">
        <f>+IF(Q162&lt;&gt;0,LOOKUP(Q162,Tabulador!C$33:C$93,Tabulador!D$33:D$93),0)</f>
        <v>900</v>
      </c>
      <c r="M162" s="127" t="str">
        <f>+M154</f>
        <v>(NOVECIENTOS  PESOS  00/100 M.N.)</v>
      </c>
      <c r="N162" s="35">
        <f>+H162*K162</f>
        <v>134.38285714285715</v>
      </c>
      <c r="O162" s="59" t="s">
        <v>27</v>
      </c>
      <c r="P162" s="49" t="s">
        <v>207</v>
      </c>
      <c r="Q162" s="161">
        <v>5.0999999999999996</v>
      </c>
      <c r="R162" s="1" t="s">
        <v>149</v>
      </c>
      <c r="S162" s="1" t="s">
        <v>879</v>
      </c>
      <c r="T162" s="6" t="s">
        <v>974</v>
      </c>
      <c r="U162" s="6" t="s">
        <v>225</v>
      </c>
      <c r="V162" s="106" t="s">
        <v>247</v>
      </c>
      <c r="W162" s="105" t="s">
        <v>248</v>
      </c>
      <c r="Z162" s="2" t="s">
        <v>1124</v>
      </c>
      <c r="AA162" s="2" t="s">
        <v>1125</v>
      </c>
      <c r="AB162" s="2" t="s">
        <v>253</v>
      </c>
      <c r="AD162" s="15">
        <v>33957</v>
      </c>
      <c r="AE162" s="53">
        <v>24</v>
      </c>
      <c r="AH162" s="110">
        <v>24</v>
      </c>
      <c r="AJ162" s="2" t="s">
        <v>1126</v>
      </c>
      <c r="AK162" s="2" t="s">
        <v>1127</v>
      </c>
      <c r="AL162" s="2" t="s">
        <v>1128</v>
      </c>
      <c r="AM162" s="2" t="s">
        <v>1129</v>
      </c>
      <c r="AN162" s="2" t="s">
        <v>285</v>
      </c>
      <c r="AO162" s="2" t="s">
        <v>253</v>
      </c>
      <c r="AP162" s="180">
        <v>28190</v>
      </c>
      <c r="AR162" s="176">
        <v>3133290724</v>
      </c>
      <c r="AU162" s="2" t="s">
        <v>266</v>
      </c>
      <c r="AY162" s="107">
        <v>42459</v>
      </c>
      <c r="BD162" s="180">
        <v>90</v>
      </c>
      <c r="BE162" s="107">
        <f t="shared" si="54"/>
        <v>42549</v>
      </c>
    </row>
    <row r="163" spans="2:57" x14ac:dyDescent="0.2">
      <c r="B163" s="15">
        <v>42461</v>
      </c>
      <c r="C163" s="176">
        <f t="shared" si="50"/>
        <v>1</v>
      </c>
      <c r="D163" s="176">
        <f t="shared" si="51"/>
        <v>4</v>
      </c>
      <c r="E163" s="157" t="str">
        <f>+LOOKUP(D163,'Factor Integración'!$L$4:$L$15,'Factor Integración'!$M$4:$M$15)</f>
        <v>Abril</v>
      </c>
      <c r="F163" s="176">
        <f t="shared" si="52"/>
        <v>2016</v>
      </c>
      <c r="G163" s="2" t="s">
        <v>1130</v>
      </c>
      <c r="H163" s="182">
        <f>+IF(Q163&gt;0,(LOOKUP(Q163,Tabulador!C$34:C$93,Tabulador!D$34:D$93)/7),0)</f>
        <v>178.57142857142858</v>
      </c>
      <c r="I163" s="15">
        <f t="shared" ca="1" si="53"/>
        <v>42461</v>
      </c>
      <c r="K163" s="36">
        <v>1.0451999999999999</v>
      </c>
      <c r="L163" s="125">
        <f>+IF(Q163&lt;&gt;0,LOOKUP(Q163,Tabulador!C$33:C$93,Tabulador!D$33:D$93),0)</f>
        <v>1250</v>
      </c>
      <c r="M163" s="127" t="str">
        <f>+M162</f>
        <v>(NOVECIENTOS  PESOS  00/100 M.N.)</v>
      </c>
      <c r="N163" s="17">
        <f t="shared" ref="N163:N165" si="55">+H163*K163</f>
        <v>186.64285714285714</v>
      </c>
      <c r="O163" s="59" t="s">
        <v>27</v>
      </c>
      <c r="P163" s="49" t="s">
        <v>207</v>
      </c>
      <c r="Q163" s="161">
        <v>6.2</v>
      </c>
      <c r="R163" s="1" t="s">
        <v>149</v>
      </c>
      <c r="S163" s="1" t="s">
        <v>879</v>
      </c>
      <c r="T163" s="6" t="s">
        <v>1059</v>
      </c>
      <c r="U163" s="6" t="s">
        <v>1131</v>
      </c>
      <c r="V163" s="106" t="s">
        <v>247</v>
      </c>
      <c r="W163" s="105" t="s">
        <v>248</v>
      </c>
      <c r="Z163" s="2" t="s">
        <v>1132</v>
      </c>
      <c r="AA163" s="2" t="s">
        <v>1133</v>
      </c>
      <c r="AB163" s="2" t="s">
        <v>841</v>
      </c>
      <c r="AD163" s="15">
        <v>32316</v>
      </c>
      <c r="AE163" s="53">
        <v>27</v>
      </c>
      <c r="AH163" s="110">
        <v>27</v>
      </c>
      <c r="AK163" s="2" t="s">
        <v>1134</v>
      </c>
      <c r="AL163" s="2" t="s">
        <v>1135</v>
      </c>
      <c r="AM163" s="2" t="s">
        <v>388</v>
      </c>
      <c r="AN163" s="2" t="s">
        <v>285</v>
      </c>
      <c r="AO163" s="2" t="s">
        <v>253</v>
      </c>
      <c r="AP163" s="180">
        <v>28110</v>
      </c>
      <c r="AR163" s="176">
        <v>5513947299</v>
      </c>
      <c r="AU163" s="2" t="s">
        <v>266</v>
      </c>
      <c r="AY163" s="107">
        <v>42461</v>
      </c>
      <c r="BD163" s="180">
        <v>90</v>
      </c>
      <c r="BE163" s="107">
        <f t="shared" si="54"/>
        <v>42551</v>
      </c>
    </row>
    <row r="164" spans="2:57" x14ac:dyDescent="0.2">
      <c r="B164" s="15">
        <v>42471</v>
      </c>
      <c r="C164" s="176">
        <f t="shared" si="50"/>
        <v>11</v>
      </c>
      <c r="D164" s="176">
        <f t="shared" si="51"/>
        <v>4</v>
      </c>
      <c r="E164" s="157" t="str">
        <f>+LOOKUP(D164,'Factor Integración'!$L$4:$L$15,'Factor Integración'!$M$4:$M$15)</f>
        <v>Abril</v>
      </c>
      <c r="F164" s="176">
        <f t="shared" si="52"/>
        <v>2016</v>
      </c>
      <c r="G164" s="2" t="s">
        <v>1136</v>
      </c>
      <c r="H164" s="182">
        <f>+IF(Q164&gt;0,(LOOKUP(Q164,Tabulador!C$34:C$93,Tabulador!D$34:D$93)/7),0)</f>
        <v>0</v>
      </c>
      <c r="I164" s="15">
        <f t="shared" ca="1" si="53"/>
        <v>42471</v>
      </c>
      <c r="K164" s="36">
        <v>1.0451999999999999</v>
      </c>
      <c r="L164" s="126">
        <v>2750</v>
      </c>
      <c r="M164" s="55" t="s">
        <v>1137</v>
      </c>
      <c r="N164" s="17">
        <f t="shared" si="55"/>
        <v>0</v>
      </c>
      <c r="O164" s="59" t="s">
        <v>27</v>
      </c>
      <c r="P164" s="49" t="s">
        <v>207</v>
      </c>
      <c r="R164" s="1" t="s">
        <v>149</v>
      </c>
      <c r="S164" s="1" t="s">
        <v>879</v>
      </c>
      <c r="T164" s="6" t="s">
        <v>1138</v>
      </c>
      <c r="U164" s="6" t="s">
        <v>1139</v>
      </c>
      <c r="V164" s="106" t="s">
        <v>247</v>
      </c>
      <c r="W164" s="105" t="s">
        <v>248</v>
      </c>
      <c r="Z164" s="2" t="s">
        <v>1140</v>
      </c>
      <c r="AA164" s="2" t="s">
        <v>1141</v>
      </c>
      <c r="AB164" s="2" t="s">
        <v>1142</v>
      </c>
      <c r="AD164" s="15">
        <v>28794</v>
      </c>
      <c r="AE164" s="53">
        <v>37</v>
      </c>
      <c r="AH164" s="110">
        <v>37</v>
      </c>
      <c r="AJ164" s="2" t="s">
        <v>1143</v>
      </c>
      <c r="AK164" s="2" t="s">
        <v>1144</v>
      </c>
      <c r="AL164" s="2" t="s">
        <v>1145</v>
      </c>
      <c r="AM164" s="2" t="s">
        <v>1146</v>
      </c>
      <c r="AN164" s="2" t="s">
        <v>1147</v>
      </c>
      <c r="AO164" s="2" t="s">
        <v>253</v>
      </c>
      <c r="AP164" s="180">
        <v>28800</v>
      </c>
      <c r="AR164" s="176">
        <v>3143525579</v>
      </c>
      <c r="AU164" s="2" t="s">
        <v>258</v>
      </c>
      <c r="AV164" s="2" t="s">
        <v>1148</v>
      </c>
      <c r="AW164" s="1" t="s">
        <v>1149</v>
      </c>
      <c r="AY164" s="107">
        <v>42471</v>
      </c>
      <c r="BD164" s="180">
        <v>90</v>
      </c>
      <c r="BE164" s="107">
        <f t="shared" si="54"/>
        <v>42561</v>
      </c>
    </row>
    <row r="165" spans="2:57" x14ac:dyDescent="0.2">
      <c r="B165" s="15">
        <v>42481</v>
      </c>
      <c r="C165" s="176">
        <f t="shared" si="50"/>
        <v>21</v>
      </c>
      <c r="D165" s="176">
        <f t="shared" si="51"/>
        <v>4</v>
      </c>
      <c r="E165" s="157" t="str">
        <f>+LOOKUP(D165,'Factor Integración'!$L$4:$L$15,'Factor Integración'!$M$4:$M$15)</f>
        <v>Abril</v>
      </c>
      <c r="F165" s="176">
        <f t="shared" si="52"/>
        <v>2016</v>
      </c>
      <c r="G165" s="2" t="s">
        <v>1150</v>
      </c>
      <c r="H165" s="182">
        <f>+IF(Q165&gt;0,(LOOKUP(Q165,Tabulador!C$34:C$93,Tabulador!D$34:D$93)/7),0)</f>
        <v>257.14285714285717</v>
      </c>
      <c r="I165" s="15">
        <f t="shared" ca="1" si="53"/>
        <v>42481</v>
      </c>
      <c r="K165" s="36">
        <v>1.0451999999999999</v>
      </c>
      <c r="L165" s="125">
        <f>+IF(Q165&lt;&gt;0,LOOKUP(Q165,Tabulador!C$33:C$93,Tabulador!D$33:D$93),0)</f>
        <v>1800</v>
      </c>
      <c r="M165" s="127" t="str">
        <f>+IF(L165&gt;0,(LOOKUP(L165,Tabulador!E$33:E$93,Tabulador!F$33:F$93)),0)</f>
        <v>(UN MIL OCHOCIENTOS  PESOS  00/100 M.N.)</v>
      </c>
      <c r="N165" s="17">
        <f t="shared" si="55"/>
        <v>268.7657142857143</v>
      </c>
      <c r="O165" s="59" t="s">
        <v>27</v>
      </c>
      <c r="P165" s="50" t="s">
        <v>207</v>
      </c>
      <c r="Q165" s="161">
        <v>8.5</v>
      </c>
      <c r="R165" s="1" t="s">
        <v>149</v>
      </c>
      <c r="S165" s="1" t="s">
        <v>879</v>
      </c>
      <c r="T165" s="6" t="s">
        <v>974</v>
      </c>
      <c r="U165" s="6" t="s">
        <v>1151</v>
      </c>
      <c r="V165" s="106" t="s">
        <v>247</v>
      </c>
      <c r="W165" s="105" t="s">
        <v>248</v>
      </c>
      <c r="Z165" s="2" t="s">
        <v>1152</v>
      </c>
      <c r="AA165" s="2" t="s">
        <v>1153</v>
      </c>
      <c r="AB165" s="2" t="s">
        <v>253</v>
      </c>
      <c r="AD165" s="15">
        <v>33806</v>
      </c>
      <c r="AE165" s="53">
        <v>23</v>
      </c>
      <c r="AH165" s="110">
        <v>23</v>
      </c>
      <c r="AJ165" s="2" t="s">
        <v>1154</v>
      </c>
      <c r="AK165" s="2" t="s">
        <v>1155</v>
      </c>
      <c r="AL165" s="2" t="s">
        <v>1156</v>
      </c>
      <c r="AM165" s="2" t="s">
        <v>432</v>
      </c>
      <c r="AN165" s="2" t="s">
        <v>1157</v>
      </c>
      <c r="AO165" s="2" t="s">
        <v>253</v>
      </c>
      <c r="AP165" s="180">
        <v>28320</v>
      </c>
      <c r="AR165" s="176">
        <v>3131002324</v>
      </c>
      <c r="AU165" s="2" t="s">
        <v>266</v>
      </c>
      <c r="AY165" s="107">
        <v>42481</v>
      </c>
      <c r="BD165" s="180">
        <v>90</v>
      </c>
      <c r="BE165" s="107">
        <f t="shared" si="54"/>
        <v>42571</v>
      </c>
    </row>
    <row r="166" spans="2:57" x14ac:dyDescent="0.2">
      <c r="B166" s="15">
        <v>42492</v>
      </c>
      <c r="C166" s="176">
        <f t="shared" si="50"/>
        <v>2</v>
      </c>
      <c r="D166" s="176">
        <f t="shared" si="51"/>
        <v>5</v>
      </c>
      <c r="E166" s="157" t="str">
        <f>+LOOKUP(D166,'Factor Integración'!$L$4:$L$15,'Factor Integración'!$M$4:$M$15)</f>
        <v>Mayo</v>
      </c>
      <c r="F166" s="176">
        <f t="shared" si="52"/>
        <v>2016</v>
      </c>
      <c r="G166" s="2" t="s">
        <v>1158</v>
      </c>
      <c r="I166" s="15">
        <f t="shared" ca="1" si="53"/>
        <v>42492</v>
      </c>
      <c r="K166" s="36">
        <v>1.0451999999999999</v>
      </c>
      <c r="L166" s="126">
        <v>1500</v>
      </c>
      <c r="M166" s="55" t="s">
        <v>1159</v>
      </c>
      <c r="N166" s="35">
        <f>250*1.0452</f>
        <v>261.29999999999995</v>
      </c>
      <c r="O166" s="59" t="s">
        <v>27</v>
      </c>
      <c r="P166" s="49" t="s">
        <v>207</v>
      </c>
      <c r="R166" s="1" t="s">
        <v>885</v>
      </c>
      <c r="S166" s="1" t="s">
        <v>886</v>
      </c>
      <c r="T166" s="6" t="s">
        <v>218</v>
      </c>
      <c r="U166" s="6" t="s">
        <v>1160</v>
      </c>
      <c r="V166" s="106" t="s">
        <v>247</v>
      </c>
      <c r="W166" s="105" t="s">
        <v>248</v>
      </c>
      <c r="Y166" s="180">
        <v>52118914465</v>
      </c>
      <c r="Z166" s="2" t="s">
        <v>1161</v>
      </c>
      <c r="AA166" s="2" t="s">
        <v>1162</v>
      </c>
      <c r="AB166" s="2" t="s">
        <v>253</v>
      </c>
      <c r="AD166" s="15">
        <v>32820</v>
      </c>
      <c r="AE166" s="53">
        <v>27</v>
      </c>
      <c r="AH166" s="110">
        <v>27</v>
      </c>
      <c r="AJ166" s="2" t="s">
        <v>1163</v>
      </c>
      <c r="AK166" s="2" t="s">
        <v>1164</v>
      </c>
      <c r="AL166" s="2" t="s">
        <v>1165</v>
      </c>
      <c r="AM166" s="2" t="s">
        <v>278</v>
      </c>
      <c r="AN166" s="2" t="s">
        <v>285</v>
      </c>
      <c r="AO166" s="2" t="s">
        <v>253</v>
      </c>
      <c r="AP166" s="180">
        <v>28120</v>
      </c>
      <c r="AR166" s="176">
        <v>3131029525</v>
      </c>
      <c r="AU166" s="2" t="s">
        <v>266</v>
      </c>
      <c r="AY166" s="107">
        <v>42492</v>
      </c>
      <c r="BD166" s="180">
        <v>90</v>
      </c>
      <c r="BE166" s="107">
        <f t="shared" si="54"/>
        <v>42582</v>
      </c>
    </row>
    <row r="167" spans="2:57" x14ac:dyDescent="0.2">
      <c r="B167" s="15">
        <v>42492</v>
      </c>
      <c r="C167" s="176">
        <f t="shared" si="50"/>
        <v>2</v>
      </c>
      <c r="D167" s="176">
        <f t="shared" si="51"/>
        <v>5</v>
      </c>
      <c r="E167" s="157" t="str">
        <f>+LOOKUP(D167,'Factor Integración'!$L$4:$L$15,'Factor Integración'!$M$4:$M$15)</f>
        <v>Mayo</v>
      </c>
      <c r="F167" s="176">
        <f t="shared" si="52"/>
        <v>2016</v>
      </c>
      <c r="G167" s="2" t="s">
        <v>1166</v>
      </c>
      <c r="H167" s="176">
        <v>375</v>
      </c>
      <c r="I167" s="15">
        <f t="shared" ca="1" si="53"/>
        <v>42492</v>
      </c>
      <c r="K167" s="36">
        <v>1.0451999999999999</v>
      </c>
      <c r="L167" s="126">
        <v>2250</v>
      </c>
      <c r="M167" s="55" t="s">
        <v>1167</v>
      </c>
      <c r="N167" s="35">
        <f>+H167*K167</f>
        <v>391.95</v>
      </c>
      <c r="O167" s="59" t="s">
        <v>27</v>
      </c>
      <c r="P167" s="49" t="s">
        <v>207</v>
      </c>
      <c r="R167" s="1" t="s">
        <v>881</v>
      </c>
      <c r="S167" s="1" t="s">
        <v>880</v>
      </c>
      <c r="T167" s="6" t="s">
        <v>212</v>
      </c>
      <c r="U167" s="6" t="s">
        <v>946</v>
      </c>
      <c r="V167" s="106" t="s">
        <v>247</v>
      </c>
      <c r="W167" s="105" t="s">
        <v>248</v>
      </c>
      <c r="Y167" s="180">
        <v>52118700161</v>
      </c>
      <c r="Z167" s="2" t="s">
        <v>1168</v>
      </c>
      <c r="AA167" s="2" t="s">
        <v>1169</v>
      </c>
      <c r="AB167" s="2" t="s">
        <v>253</v>
      </c>
      <c r="AD167" s="15">
        <v>31873</v>
      </c>
      <c r="AE167" s="53">
        <v>29</v>
      </c>
      <c r="AH167" s="110">
        <v>29</v>
      </c>
      <c r="AJ167" s="2" t="s">
        <v>1170</v>
      </c>
      <c r="AK167" s="2" t="s">
        <v>1171</v>
      </c>
      <c r="AL167" s="2" t="s">
        <v>1172</v>
      </c>
      <c r="AM167" s="2" t="s">
        <v>1173</v>
      </c>
      <c r="AN167" s="2" t="s">
        <v>1157</v>
      </c>
      <c r="AO167" s="2" t="s">
        <v>253</v>
      </c>
      <c r="AP167" s="180">
        <v>28304</v>
      </c>
      <c r="AR167" s="176">
        <v>3141334207</v>
      </c>
      <c r="AU167" s="2" t="s">
        <v>266</v>
      </c>
      <c r="AY167" s="107">
        <v>42492</v>
      </c>
      <c r="BD167" s="180">
        <v>90</v>
      </c>
      <c r="BE167" s="107">
        <f t="shared" si="54"/>
        <v>42582</v>
      </c>
    </row>
    <row r="168" spans="2:57" x14ac:dyDescent="0.2">
      <c r="B168" s="15">
        <v>42494</v>
      </c>
      <c r="C168" s="176">
        <f t="shared" si="50"/>
        <v>4</v>
      </c>
      <c r="D168" s="176">
        <f t="shared" si="51"/>
        <v>5</v>
      </c>
      <c r="E168" s="157" t="str">
        <f>+LOOKUP(D168,'Factor Integración'!$L$4:$L$15,'Factor Integración'!$M$4:$M$15)</f>
        <v>Mayo</v>
      </c>
      <c r="F168" s="176">
        <f t="shared" si="52"/>
        <v>2016</v>
      </c>
      <c r="G168" s="2" t="s">
        <v>1174</v>
      </c>
      <c r="H168" s="176">
        <v>200</v>
      </c>
      <c r="I168" s="15">
        <f t="shared" ca="1" si="53"/>
        <v>42494</v>
      </c>
      <c r="K168" s="36">
        <v>1.0451999999999999</v>
      </c>
      <c r="L168" s="126">
        <v>1200</v>
      </c>
      <c r="M168" s="55" t="s">
        <v>1175</v>
      </c>
      <c r="N168" s="35">
        <f>+H168*K168</f>
        <v>209.04</v>
      </c>
      <c r="O168" s="59" t="s">
        <v>27</v>
      </c>
      <c r="P168" s="49" t="s">
        <v>207</v>
      </c>
      <c r="R168" s="1" t="s">
        <v>881</v>
      </c>
      <c r="S168" s="1" t="s">
        <v>880</v>
      </c>
      <c r="T168" s="6" t="s">
        <v>212</v>
      </c>
      <c r="U168" s="6" t="s">
        <v>231</v>
      </c>
      <c r="V168" s="106" t="s">
        <v>247</v>
      </c>
      <c r="W168" s="105" t="s">
        <v>248</v>
      </c>
      <c r="Z168" s="2" t="s">
        <v>1176</v>
      </c>
      <c r="AA168" s="2" t="s">
        <v>1177</v>
      </c>
      <c r="AB168" s="2" t="s">
        <v>253</v>
      </c>
      <c r="AD168" s="15">
        <v>32018</v>
      </c>
      <c r="AE168" s="53">
        <v>28</v>
      </c>
      <c r="AH168" s="110">
        <v>28</v>
      </c>
      <c r="AJ168" s="2" t="s">
        <v>823</v>
      </c>
      <c r="AK168" s="2" t="s">
        <v>824</v>
      </c>
      <c r="AL168" s="2" t="s">
        <v>1178</v>
      </c>
      <c r="AM168" s="2" t="s">
        <v>925</v>
      </c>
      <c r="AN168" s="2" t="s">
        <v>285</v>
      </c>
      <c r="AO168" s="2" t="s">
        <v>253</v>
      </c>
      <c r="AP168" s="180">
        <v>28936</v>
      </c>
      <c r="AR168" s="176">
        <v>3131476500</v>
      </c>
      <c r="AU168" s="2" t="s">
        <v>690</v>
      </c>
      <c r="AY168" s="107">
        <v>42494</v>
      </c>
      <c r="BD168" s="180">
        <v>90</v>
      </c>
      <c r="BE168" s="107">
        <f t="shared" si="54"/>
        <v>42584</v>
      </c>
    </row>
    <row r="169" spans="2:57" x14ac:dyDescent="0.2">
      <c r="B169" s="15">
        <v>42495</v>
      </c>
      <c r="C169" s="176">
        <f t="shared" si="50"/>
        <v>5</v>
      </c>
      <c r="D169" s="176">
        <f t="shared" si="51"/>
        <v>5</v>
      </c>
      <c r="E169" s="157" t="str">
        <f>+LOOKUP(D169,'Factor Integración'!$L$4:$L$15,'Factor Integración'!$M$4:$M$15)</f>
        <v>Mayo</v>
      </c>
      <c r="F169" s="176">
        <f t="shared" si="52"/>
        <v>2016</v>
      </c>
      <c r="G169" s="2" t="s">
        <v>1179</v>
      </c>
      <c r="H169" s="176">
        <v>208.33</v>
      </c>
      <c r="I169" s="15">
        <f t="shared" ca="1" si="53"/>
        <v>42495</v>
      </c>
      <c r="K169" s="36">
        <v>1.0451999999999999</v>
      </c>
      <c r="L169" s="126">
        <v>1250</v>
      </c>
      <c r="M169" s="55" t="s">
        <v>1180</v>
      </c>
      <c r="N169" s="35">
        <f>+H169*1.0452</f>
        <v>217.74651599999999</v>
      </c>
      <c r="O169" s="59" t="s">
        <v>27</v>
      </c>
      <c r="P169" s="49" t="s">
        <v>207</v>
      </c>
      <c r="R169" s="1" t="s">
        <v>881</v>
      </c>
      <c r="S169" s="1" t="s">
        <v>880</v>
      </c>
      <c r="T169" s="6" t="s">
        <v>212</v>
      </c>
      <c r="U169" s="6" t="s">
        <v>1181</v>
      </c>
      <c r="V169" s="106" t="s">
        <v>247</v>
      </c>
      <c r="W169" s="105" t="s">
        <v>248</v>
      </c>
      <c r="Y169" s="180">
        <v>52109216847</v>
      </c>
      <c r="Z169" s="2" t="s">
        <v>1182</v>
      </c>
      <c r="AA169" s="2" t="s">
        <v>1183</v>
      </c>
      <c r="AB169" s="2" t="s">
        <v>253</v>
      </c>
      <c r="AD169" s="15">
        <v>33675</v>
      </c>
      <c r="AE169" s="53">
        <v>24</v>
      </c>
      <c r="AH169" s="110">
        <v>24</v>
      </c>
      <c r="AK169" s="2" t="s">
        <v>1184</v>
      </c>
      <c r="AL169" s="2" t="s">
        <v>1185</v>
      </c>
      <c r="AM169" s="2" t="s">
        <v>1186</v>
      </c>
      <c r="AN169" s="2" t="s">
        <v>285</v>
      </c>
      <c r="AO169" s="2" t="s">
        <v>253</v>
      </c>
      <c r="AP169" s="180">
        <v>28935</v>
      </c>
      <c r="AR169" s="176">
        <v>3131382136</v>
      </c>
      <c r="AU169" s="2" t="s">
        <v>266</v>
      </c>
      <c r="AY169" s="107">
        <v>42495</v>
      </c>
      <c r="BD169" s="180">
        <v>90</v>
      </c>
      <c r="BE169" s="107">
        <f t="shared" si="54"/>
        <v>42585</v>
      </c>
    </row>
    <row r="170" spans="2:57" x14ac:dyDescent="0.2">
      <c r="B170" s="15">
        <v>42495</v>
      </c>
      <c r="C170" s="176">
        <f t="shared" si="50"/>
        <v>5</v>
      </c>
      <c r="D170" s="176">
        <f t="shared" si="51"/>
        <v>5</v>
      </c>
      <c r="E170" s="157" t="str">
        <f>+LOOKUP(D170,'Factor Integración'!$L$4:$L$15,'Factor Integración'!$M$4:$M$15)</f>
        <v>Mayo</v>
      </c>
      <c r="F170" s="176">
        <f t="shared" si="52"/>
        <v>2016</v>
      </c>
      <c r="G170" s="2" t="s">
        <v>1187</v>
      </c>
      <c r="H170" s="176">
        <v>208.33</v>
      </c>
      <c r="I170" s="15">
        <f t="shared" ca="1" si="53"/>
        <v>42495</v>
      </c>
      <c r="K170" s="36">
        <v>1.0451999999999999</v>
      </c>
      <c r="L170" s="126">
        <v>1250</v>
      </c>
      <c r="M170" s="55" t="s">
        <v>1180</v>
      </c>
      <c r="N170" s="35">
        <v>217.75</v>
      </c>
      <c r="O170" s="59" t="s">
        <v>27</v>
      </c>
      <c r="P170" s="49" t="s">
        <v>207</v>
      </c>
      <c r="R170" s="1" t="s">
        <v>149</v>
      </c>
      <c r="S170" s="1" t="s">
        <v>879</v>
      </c>
      <c r="T170" s="6" t="s">
        <v>210</v>
      </c>
      <c r="U170" s="6" t="s">
        <v>1188</v>
      </c>
      <c r="V170" s="106" t="s">
        <v>247</v>
      </c>
      <c r="W170" s="105" t="s">
        <v>248</v>
      </c>
      <c r="Z170" s="2" t="s">
        <v>1190</v>
      </c>
      <c r="AA170" s="2" t="s">
        <v>1189</v>
      </c>
      <c r="AB170" s="2" t="s">
        <v>253</v>
      </c>
      <c r="AD170" s="15">
        <v>35541</v>
      </c>
      <c r="AE170" s="53">
        <v>19</v>
      </c>
      <c r="AH170" s="110">
        <v>19</v>
      </c>
      <c r="AJ170" s="2" t="s">
        <v>1191</v>
      </c>
      <c r="AK170" s="2" t="s">
        <v>1192</v>
      </c>
      <c r="AL170" s="2" t="s">
        <v>1193</v>
      </c>
      <c r="AM170" s="2" t="s">
        <v>1194</v>
      </c>
      <c r="AN170" s="2" t="s">
        <v>285</v>
      </c>
      <c r="AO170" s="2" t="s">
        <v>253</v>
      </c>
      <c r="AP170" s="180">
        <v>28111</v>
      </c>
      <c r="AR170" s="176">
        <v>3131168314</v>
      </c>
      <c r="AU170" s="2" t="s">
        <v>266</v>
      </c>
      <c r="AY170" s="107">
        <v>42495</v>
      </c>
      <c r="BD170" s="180">
        <v>90</v>
      </c>
      <c r="BE170" s="107">
        <f t="shared" si="54"/>
        <v>42585</v>
      </c>
    </row>
    <row r="171" spans="2:57" x14ac:dyDescent="0.2">
      <c r="B171" s="15">
        <v>42496</v>
      </c>
      <c r="C171" s="176">
        <f t="shared" si="50"/>
        <v>6</v>
      </c>
      <c r="D171" s="176">
        <f t="shared" si="51"/>
        <v>5</v>
      </c>
      <c r="E171" s="157" t="str">
        <f>+LOOKUP(D171,'Factor Integración'!$L$4:$L$15,'Factor Integración'!$M$4:$M$15)</f>
        <v>Mayo</v>
      </c>
      <c r="F171" s="176">
        <f t="shared" si="52"/>
        <v>2016</v>
      </c>
      <c r="G171" s="2" t="s">
        <v>1195</v>
      </c>
      <c r="H171" s="176">
        <v>166.67</v>
      </c>
      <c r="I171" s="15">
        <f t="shared" ca="1" si="53"/>
        <v>42496</v>
      </c>
      <c r="K171" s="36">
        <v>1.0451999999999999</v>
      </c>
      <c r="L171" s="126">
        <v>1000</v>
      </c>
      <c r="M171" s="55" t="s">
        <v>1196</v>
      </c>
      <c r="N171" s="35">
        <f>+H171*K171</f>
        <v>174.20348399999997</v>
      </c>
      <c r="O171" s="59" t="s">
        <v>27</v>
      </c>
      <c r="P171" s="49" t="s">
        <v>207</v>
      </c>
      <c r="R171" s="1" t="s">
        <v>149</v>
      </c>
      <c r="S171" s="1" t="s">
        <v>879</v>
      </c>
      <c r="T171" s="6" t="s">
        <v>974</v>
      </c>
      <c r="U171" s="6" t="s">
        <v>1197</v>
      </c>
      <c r="V171" s="106" t="s">
        <v>247</v>
      </c>
      <c r="W171" s="105" t="s">
        <v>248</v>
      </c>
      <c r="Z171" s="2" t="s">
        <v>1198</v>
      </c>
      <c r="AA171" s="2" t="s">
        <v>1199</v>
      </c>
      <c r="AB171" s="2" t="s">
        <v>253</v>
      </c>
      <c r="AD171" s="15">
        <v>32378</v>
      </c>
      <c r="AE171" s="53">
        <v>27</v>
      </c>
      <c r="AH171" s="110">
        <v>27</v>
      </c>
      <c r="AJ171" s="2" t="s">
        <v>1200</v>
      </c>
      <c r="AK171" s="2" t="s">
        <v>1201</v>
      </c>
      <c r="AL171" s="2" t="s">
        <v>1202</v>
      </c>
      <c r="AM171" s="2" t="s">
        <v>1203</v>
      </c>
      <c r="AN171" s="2" t="s">
        <v>285</v>
      </c>
      <c r="AO171" s="2" t="s">
        <v>253</v>
      </c>
      <c r="AR171" s="176">
        <v>3137308507</v>
      </c>
      <c r="AU171" s="2" t="s">
        <v>258</v>
      </c>
      <c r="AV171" s="2" t="s">
        <v>1204</v>
      </c>
      <c r="AY171" s="107">
        <v>42496</v>
      </c>
      <c r="BD171" s="180">
        <v>90</v>
      </c>
      <c r="BE171" s="107">
        <f t="shared" si="54"/>
        <v>42586</v>
      </c>
    </row>
    <row r="172" spans="2:57" x14ac:dyDescent="0.2">
      <c r="B172" s="15">
        <v>42492</v>
      </c>
      <c r="C172" s="176">
        <f t="shared" si="50"/>
        <v>2</v>
      </c>
      <c r="D172" s="176">
        <f t="shared" si="51"/>
        <v>5</v>
      </c>
      <c r="E172" s="157" t="str">
        <f>+LOOKUP(D172,'Factor Integración'!$L$4:$L$15,'Factor Integración'!$M$4:$M$15)</f>
        <v>Mayo</v>
      </c>
      <c r="F172" s="176">
        <f t="shared" si="52"/>
        <v>2016</v>
      </c>
      <c r="G172" s="2" t="s">
        <v>1205</v>
      </c>
      <c r="I172" s="15">
        <f t="shared" ca="1" si="53"/>
        <v>42492</v>
      </c>
      <c r="K172" s="36">
        <v>1.0451999999999999</v>
      </c>
      <c r="L172" s="126">
        <v>800</v>
      </c>
      <c r="M172" s="55" t="s">
        <v>1206</v>
      </c>
      <c r="R172" s="1" t="s">
        <v>149</v>
      </c>
      <c r="S172" s="1" t="s">
        <v>879</v>
      </c>
      <c r="T172" s="6" t="s">
        <v>222</v>
      </c>
      <c r="U172" s="6" t="s">
        <v>1108</v>
      </c>
      <c r="V172" s="106" t="s">
        <v>247</v>
      </c>
      <c r="W172" s="105" t="s">
        <v>248</v>
      </c>
      <c r="AD172" s="15">
        <v>31241</v>
      </c>
      <c r="AE172" s="53">
        <v>31</v>
      </c>
      <c r="AH172" s="110">
        <v>31</v>
      </c>
      <c r="AJ172" s="2" t="s">
        <v>1207</v>
      </c>
      <c r="AK172" s="2" t="s">
        <v>1208</v>
      </c>
      <c r="AL172" s="2" t="s">
        <v>1209</v>
      </c>
      <c r="AM172" s="2" t="s">
        <v>447</v>
      </c>
      <c r="AN172" s="2" t="s">
        <v>285</v>
      </c>
      <c r="AO172" s="2" t="s">
        <v>253</v>
      </c>
      <c r="AR172" s="176">
        <v>3133296557</v>
      </c>
      <c r="AY172" s="107">
        <v>42492</v>
      </c>
      <c r="BD172" s="180">
        <v>90</v>
      </c>
      <c r="BE172" s="107">
        <f t="shared" si="54"/>
        <v>42582</v>
      </c>
    </row>
    <row r="173" spans="2:57" x14ac:dyDescent="0.2">
      <c r="B173" s="15">
        <v>42499</v>
      </c>
      <c r="C173" s="176">
        <f t="shared" si="50"/>
        <v>9</v>
      </c>
      <c r="D173" s="176">
        <f t="shared" si="51"/>
        <v>5</v>
      </c>
      <c r="E173" s="160" t="str">
        <f>+LOOKUP(D173,'Factor Integración'!$L$4:$L$15,'Factor Integración'!$M$4:$M$15)</f>
        <v>Mayo</v>
      </c>
      <c r="F173" s="176">
        <f t="shared" si="52"/>
        <v>2016</v>
      </c>
      <c r="G173" s="2" t="s">
        <v>1210</v>
      </c>
      <c r="H173" s="176">
        <f>1250/6</f>
        <v>208.33333333333334</v>
      </c>
      <c r="I173" s="15">
        <f t="shared" ca="1" si="53"/>
        <v>42499</v>
      </c>
      <c r="K173" s="36">
        <v>1.0451999999999999</v>
      </c>
      <c r="L173" s="126">
        <v>1250</v>
      </c>
      <c r="M173" s="55" t="s">
        <v>1217</v>
      </c>
      <c r="N173" s="35">
        <f>+H173*1.0452</f>
        <v>217.75</v>
      </c>
      <c r="O173" s="59" t="s">
        <v>27</v>
      </c>
      <c r="P173" s="49" t="s">
        <v>207</v>
      </c>
      <c r="R173" s="1" t="s">
        <v>881</v>
      </c>
      <c r="S173" s="1" t="s">
        <v>880</v>
      </c>
      <c r="T173" s="6" t="s">
        <v>212</v>
      </c>
      <c r="U173" s="6" t="s">
        <v>1018</v>
      </c>
      <c r="V173" s="106" t="s">
        <v>247</v>
      </c>
      <c r="W173" s="105" t="s">
        <v>248</v>
      </c>
      <c r="Z173" s="2" t="s">
        <v>1211</v>
      </c>
      <c r="AA173" s="2" t="s">
        <v>1212</v>
      </c>
      <c r="AB173" s="2" t="s">
        <v>253</v>
      </c>
      <c r="AD173" s="15">
        <v>34845</v>
      </c>
      <c r="AE173" s="53">
        <v>20</v>
      </c>
      <c r="AH173" s="110">
        <v>20</v>
      </c>
      <c r="AJ173" s="2" t="s">
        <v>1213</v>
      </c>
      <c r="AK173" s="2" t="s">
        <v>1214</v>
      </c>
      <c r="AL173" s="2" t="s">
        <v>1215</v>
      </c>
      <c r="AM173" s="2" t="s">
        <v>1216</v>
      </c>
      <c r="AN173" s="2" t="s">
        <v>285</v>
      </c>
      <c r="AO173" s="2" t="s">
        <v>253</v>
      </c>
      <c r="AP173" s="180">
        <v>28134</v>
      </c>
      <c r="AR173" s="176">
        <v>3131031558</v>
      </c>
      <c r="AY173" s="107">
        <v>42499</v>
      </c>
      <c r="BD173" s="180">
        <v>90</v>
      </c>
      <c r="BE173" s="107">
        <f t="shared" si="54"/>
        <v>42589</v>
      </c>
    </row>
    <row r="174" spans="2:57" x14ac:dyDescent="0.2">
      <c r="B174" s="15">
        <v>42501</v>
      </c>
      <c r="C174" s="176">
        <f t="shared" si="50"/>
        <v>11</v>
      </c>
      <c r="D174" s="176">
        <f t="shared" si="51"/>
        <v>5</v>
      </c>
      <c r="E174" s="160" t="str">
        <f>+LOOKUP(D174,'Factor Integración'!$L$4:$L$15,'Factor Integración'!$M$4:$M$15)</f>
        <v>Mayo</v>
      </c>
      <c r="F174" s="176">
        <f t="shared" si="52"/>
        <v>2016</v>
      </c>
      <c r="G174" s="2" t="s">
        <v>1218</v>
      </c>
      <c r="H174" s="176">
        <v>333.33</v>
      </c>
      <c r="I174" s="15">
        <f t="shared" ca="1" si="53"/>
        <v>42501</v>
      </c>
      <c r="K174" s="36">
        <v>1.0451999999999999</v>
      </c>
      <c r="L174" s="126">
        <v>2000</v>
      </c>
      <c r="M174" s="55" t="s">
        <v>1219</v>
      </c>
      <c r="N174" s="35">
        <f>+H174*K174</f>
        <v>348.39651599999996</v>
      </c>
      <c r="O174" s="59" t="s">
        <v>27</v>
      </c>
      <c r="P174" s="49" t="s">
        <v>207</v>
      </c>
      <c r="R174" s="1" t="s">
        <v>149</v>
      </c>
      <c r="S174" s="1" t="s">
        <v>879</v>
      </c>
      <c r="T174" s="6" t="s">
        <v>216</v>
      </c>
      <c r="U174" s="6" t="s">
        <v>236</v>
      </c>
      <c r="V174" s="106" t="s">
        <v>247</v>
      </c>
      <c r="W174" s="105" t="s">
        <v>248</v>
      </c>
      <c r="Z174" s="2" t="s">
        <v>1220</v>
      </c>
      <c r="AA174" s="2" t="s">
        <v>1221</v>
      </c>
      <c r="AB174" s="2" t="s">
        <v>253</v>
      </c>
      <c r="AD174" s="15">
        <v>34176</v>
      </c>
      <c r="AE174" s="53">
        <v>22</v>
      </c>
      <c r="AH174" s="110">
        <v>22</v>
      </c>
      <c r="AK174" s="2" t="s">
        <v>1222</v>
      </c>
      <c r="AL174" s="2" t="s">
        <v>1223</v>
      </c>
      <c r="AM174" s="2" t="s">
        <v>1224</v>
      </c>
      <c r="AN174" s="2" t="s">
        <v>285</v>
      </c>
      <c r="AO174" s="2" t="s">
        <v>253</v>
      </c>
      <c r="AP174" s="180">
        <v>28190</v>
      </c>
      <c r="AR174" s="176">
        <v>3131094022</v>
      </c>
      <c r="AU174" s="2" t="s">
        <v>266</v>
      </c>
      <c r="AY174" s="107">
        <v>42501</v>
      </c>
      <c r="BD174" s="180">
        <v>90</v>
      </c>
      <c r="BE174" s="107">
        <f t="shared" si="54"/>
        <v>42591</v>
      </c>
    </row>
    <row r="175" spans="2:57" x14ac:dyDescent="0.2">
      <c r="B175" s="15">
        <v>42507</v>
      </c>
      <c r="C175" s="176">
        <f t="shared" si="50"/>
        <v>17</v>
      </c>
      <c r="D175" s="176">
        <f t="shared" si="51"/>
        <v>5</v>
      </c>
      <c r="E175" s="160" t="str">
        <f>+LOOKUP(D175,'Factor Integración'!$L$4:$L$15,'Factor Integración'!$M$4:$M$15)</f>
        <v>Mayo</v>
      </c>
      <c r="F175" s="176">
        <f t="shared" si="52"/>
        <v>2016</v>
      </c>
      <c r="G175" s="2" t="s">
        <v>1227</v>
      </c>
      <c r="H175" s="176">
        <v>333.33</v>
      </c>
      <c r="I175" s="15">
        <f t="shared" ca="1" si="53"/>
        <v>42507</v>
      </c>
      <c r="K175" s="36">
        <v>1.0451999999999999</v>
      </c>
      <c r="L175" s="126">
        <v>2000</v>
      </c>
      <c r="M175" s="55" t="s">
        <v>1219</v>
      </c>
      <c r="N175" s="35">
        <f>+H175*1.0452</f>
        <v>348.39651599999996</v>
      </c>
      <c r="O175" s="59" t="s">
        <v>27</v>
      </c>
      <c r="P175" s="49" t="s">
        <v>207</v>
      </c>
      <c r="R175" s="1" t="s">
        <v>885</v>
      </c>
      <c r="S175" s="1" t="s">
        <v>886</v>
      </c>
      <c r="T175" s="6" t="s">
        <v>863</v>
      </c>
      <c r="U175" s="6" t="s">
        <v>864</v>
      </c>
      <c r="V175" s="106" t="s">
        <v>247</v>
      </c>
      <c r="W175" s="105" t="s">
        <v>248</v>
      </c>
      <c r="Z175" s="2" t="s">
        <v>1228</v>
      </c>
      <c r="AA175" s="2" t="s">
        <v>1229</v>
      </c>
      <c r="AB175" s="2" t="s">
        <v>253</v>
      </c>
      <c r="AD175" s="15">
        <v>29411</v>
      </c>
      <c r="AE175" s="53">
        <v>35</v>
      </c>
      <c r="AH175" s="110">
        <v>35</v>
      </c>
      <c r="AJ175" s="2" t="s">
        <v>1230</v>
      </c>
      <c r="AK175" s="2" t="s">
        <v>1231</v>
      </c>
      <c r="AL175" s="2" t="s">
        <v>1232</v>
      </c>
      <c r="AM175" s="2" t="s">
        <v>432</v>
      </c>
      <c r="AN175" s="2" t="s">
        <v>285</v>
      </c>
      <c r="AO175" s="2" t="s">
        <v>253</v>
      </c>
      <c r="AP175" s="180">
        <v>28120</v>
      </c>
      <c r="AR175" s="176">
        <v>3131137578</v>
      </c>
      <c r="AU175" s="2" t="s">
        <v>1047</v>
      </c>
      <c r="AV175" s="2" t="s">
        <v>1233</v>
      </c>
      <c r="AY175" s="107">
        <v>42507</v>
      </c>
      <c r="BD175" s="180">
        <v>90</v>
      </c>
      <c r="BE175" s="107">
        <f t="shared" si="54"/>
        <v>42597</v>
      </c>
    </row>
    <row r="176" spans="2:57" x14ac:dyDescent="0.2">
      <c r="B176" s="15">
        <v>42513</v>
      </c>
      <c r="C176" s="176">
        <f t="shared" si="50"/>
        <v>23</v>
      </c>
      <c r="D176" s="176">
        <f t="shared" si="51"/>
        <v>5</v>
      </c>
      <c r="E176" s="160" t="str">
        <f>+LOOKUP(D176,'Factor Integración'!$L$4:$L$15,'Factor Integración'!$M$4:$M$15)</f>
        <v>Mayo</v>
      </c>
      <c r="F176" s="176">
        <f t="shared" si="52"/>
        <v>2016</v>
      </c>
      <c r="G176" s="2" t="s">
        <v>1234</v>
      </c>
      <c r="H176" s="176">
        <v>208.33</v>
      </c>
      <c r="I176" s="15">
        <f t="shared" ca="1" si="53"/>
        <v>42513</v>
      </c>
      <c r="K176" s="36">
        <v>1.0451999999999999</v>
      </c>
      <c r="L176" s="126">
        <v>1250</v>
      </c>
      <c r="M176" s="55" t="s">
        <v>1217</v>
      </c>
      <c r="O176" s="59" t="s">
        <v>27</v>
      </c>
      <c r="P176" s="49" t="s">
        <v>207</v>
      </c>
      <c r="R176" s="1" t="s">
        <v>881</v>
      </c>
      <c r="S176" s="1" t="s">
        <v>880</v>
      </c>
      <c r="T176" s="6" t="s">
        <v>212</v>
      </c>
      <c r="U176" s="6" t="s">
        <v>1018</v>
      </c>
      <c r="V176" s="106" t="s">
        <v>247</v>
      </c>
      <c r="W176" s="105" t="s">
        <v>248</v>
      </c>
      <c r="Y176" s="180">
        <v>52926802969</v>
      </c>
      <c r="Z176" s="2" t="s">
        <v>1236</v>
      </c>
      <c r="AA176" s="2" t="s">
        <v>1235</v>
      </c>
      <c r="AB176" s="2" t="s">
        <v>301</v>
      </c>
      <c r="AD176" s="15">
        <v>25112</v>
      </c>
      <c r="AE176" s="53">
        <v>47</v>
      </c>
      <c r="AH176" s="110">
        <v>47</v>
      </c>
      <c r="AL176" s="2" t="s">
        <v>1237</v>
      </c>
      <c r="AM176" s="2" t="s">
        <v>1238</v>
      </c>
      <c r="AN176" s="2" t="s">
        <v>285</v>
      </c>
      <c r="AO176" s="2" t="s">
        <v>253</v>
      </c>
      <c r="AP176" s="180">
        <v>28934</v>
      </c>
      <c r="AY176" s="107">
        <v>42513</v>
      </c>
      <c r="BD176" s="180">
        <v>30</v>
      </c>
      <c r="BE176" s="107">
        <f t="shared" si="54"/>
        <v>42543</v>
      </c>
    </row>
    <row r="177" spans="2:64" x14ac:dyDescent="0.2">
      <c r="B177" s="15">
        <v>42515</v>
      </c>
      <c r="C177" s="176">
        <f t="shared" si="50"/>
        <v>25</v>
      </c>
      <c r="D177" s="176">
        <f t="shared" si="51"/>
        <v>5</v>
      </c>
      <c r="E177" s="160" t="str">
        <f>+LOOKUP(D177,'Factor Integración'!$L$4:$L$15,'Factor Integración'!$M$4:$M$15)</f>
        <v>Mayo</v>
      </c>
      <c r="F177" s="176">
        <f t="shared" si="52"/>
        <v>2016</v>
      </c>
      <c r="G177" s="2" t="s">
        <v>1239</v>
      </c>
      <c r="H177" s="176">
        <v>150</v>
      </c>
      <c r="I177" s="15">
        <f t="shared" ca="1" si="53"/>
        <v>42515</v>
      </c>
      <c r="K177" s="36">
        <v>1.0451999999999999</v>
      </c>
      <c r="L177" s="126">
        <v>900</v>
      </c>
      <c r="M177" s="55" t="s">
        <v>1240</v>
      </c>
      <c r="O177" s="59" t="s">
        <v>27</v>
      </c>
      <c r="P177" s="49" t="s">
        <v>207</v>
      </c>
      <c r="R177" s="1" t="s">
        <v>149</v>
      </c>
      <c r="S177" s="1" t="s">
        <v>879</v>
      </c>
      <c r="T177" s="6" t="s">
        <v>214</v>
      </c>
      <c r="U177" s="6" t="s">
        <v>1197</v>
      </c>
      <c r="V177" s="106" t="s">
        <v>247</v>
      </c>
      <c r="W177" s="105" t="s">
        <v>248</v>
      </c>
      <c r="Y177" s="180">
        <v>52109407578</v>
      </c>
      <c r="AA177" s="2" t="s">
        <v>1241</v>
      </c>
      <c r="AB177" s="2" t="s">
        <v>253</v>
      </c>
      <c r="AD177" s="15">
        <v>34482</v>
      </c>
      <c r="AE177" s="53">
        <v>21</v>
      </c>
      <c r="AH177" s="110">
        <v>21</v>
      </c>
      <c r="AJ177" s="2" t="s">
        <v>1242</v>
      </c>
      <c r="AK177" s="2" t="s">
        <v>1243</v>
      </c>
      <c r="AL177" s="2" t="s">
        <v>1244</v>
      </c>
      <c r="AM177" s="2" t="s">
        <v>1245</v>
      </c>
      <c r="AN177" s="2" t="s">
        <v>285</v>
      </c>
      <c r="AO177" s="2" t="s">
        <v>253</v>
      </c>
      <c r="AP177" s="180">
        <v>28130</v>
      </c>
      <c r="AR177" s="176">
        <v>3131126986</v>
      </c>
      <c r="AU177" s="2" t="s">
        <v>258</v>
      </c>
      <c r="AV177" s="2" t="s">
        <v>1246</v>
      </c>
      <c r="AW177" s="1" t="s">
        <v>1247</v>
      </c>
      <c r="AY177" s="107">
        <v>42515</v>
      </c>
      <c r="BD177" s="180">
        <v>90</v>
      </c>
      <c r="BE177" s="107">
        <f t="shared" si="54"/>
        <v>42605</v>
      </c>
    </row>
    <row r="178" spans="2:64" x14ac:dyDescent="0.2">
      <c r="B178" s="15">
        <v>42515</v>
      </c>
      <c r="C178" s="176">
        <f t="shared" si="50"/>
        <v>25</v>
      </c>
      <c r="D178" s="176">
        <f t="shared" si="51"/>
        <v>5</v>
      </c>
      <c r="E178" s="160" t="str">
        <f>+LOOKUP(D178,'Factor Integración'!$L$4:$L$15,'Factor Integración'!$M$4:$M$15)</f>
        <v>Mayo</v>
      </c>
      <c r="F178" s="176">
        <f t="shared" si="52"/>
        <v>2016</v>
      </c>
      <c r="G178" s="2" t="s">
        <v>1248</v>
      </c>
      <c r="H178" s="176">
        <v>150</v>
      </c>
      <c r="I178" s="15">
        <f t="shared" ca="1" si="53"/>
        <v>42515</v>
      </c>
      <c r="K178" s="36">
        <v>1.0451999999999999</v>
      </c>
      <c r="L178" s="126">
        <v>900</v>
      </c>
      <c r="M178" s="55" t="s">
        <v>1240</v>
      </c>
      <c r="O178" s="59" t="s">
        <v>27</v>
      </c>
      <c r="P178" s="49" t="s">
        <v>207</v>
      </c>
      <c r="R178" s="1" t="s">
        <v>149</v>
      </c>
      <c r="S178" s="1" t="s">
        <v>879</v>
      </c>
      <c r="T178" s="6" t="s">
        <v>974</v>
      </c>
      <c r="U178" s="6" t="s">
        <v>1197</v>
      </c>
      <c r="V178" s="106" t="s">
        <v>247</v>
      </c>
      <c r="W178" s="105" t="s">
        <v>248</v>
      </c>
      <c r="Y178" s="180">
        <v>52139106091</v>
      </c>
      <c r="Z178" s="2" t="s">
        <v>1249</v>
      </c>
      <c r="AA178" s="2" t="s">
        <v>1250</v>
      </c>
      <c r="AB178" s="2" t="s">
        <v>253</v>
      </c>
      <c r="AD178" s="15">
        <v>33595</v>
      </c>
      <c r="AE178" s="53">
        <v>24</v>
      </c>
      <c r="AH178" s="110">
        <v>24</v>
      </c>
      <c r="AJ178" s="2" t="s">
        <v>1251</v>
      </c>
      <c r="AK178" s="2" t="s">
        <v>1252</v>
      </c>
      <c r="AL178" s="2" t="s">
        <v>1253</v>
      </c>
      <c r="AM178" s="2" t="s">
        <v>408</v>
      </c>
      <c r="AN178" s="2" t="s">
        <v>285</v>
      </c>
      <c r="AO178" s="2" t="s">
        <v>253</v>
      </c>
      <c r="AP178" s="180">
        <v>28170</v>
      </c>
      <c r="AR178" s="176">
        <v>3131140174</v>
      </c>
      <c r="AU178" s="2" t="s">
        <v>356</v>
      </c>
      <c r="AV178" s="2" t="s">
        <v>1254</v>
      </c>
      <c r="AY178" s="107">
        <v>42515</v>
      </c>
      <c r="BD178" s="180">
        <v>90</v>
      </c>
      <c r="BE178" s="107">
        <f t="shared" ref="BE178:BE193" si="56">+AY178+BD178</f>
        <v>42605</v>
      </c>
    </row>
    <row r="179" spans="2:64" x14ac:dyDescent="0.2">
      <c r="B179" s="15">
        <v>42513</v>
      </c>
      <c r="C179" s="176">
        <f t="shared" si="50"/>
        <v>23</v>
      </c>
      <c r="D179" s="176">
        <f t="shared" si="51"/>
        <v>5</v>
      </c>
      <c r="E179" s="12" t="s">
        <v>51</v>
      </c>
      <c r="F179" s="176">
        <f t="shared" si="52"/>
        <v>2016</v>
      </c>
      <c r="G179" s="2" t="s">
        <v>1255</v>
      </c>
      <c r="H179" s="176">
        <v>150</v>
      </c>
      <c r="I179" s="15">
        <f t="shared" ca="1" si="53"/>
        <v>42513</v>
      </c>
      <c r="K179" s="36">
        <v>1.0458000000000001</v>
      </c>
      <c r="L179" s="126">
        <v>900</v>
      </c>
      <c r="M179" s="55" t="s">
        <v>1240</v>
      </c>
      <c r="R179" s="1" t="s">
        <v>149</v>
      </c>
      <c r="S179" s="1" t="s">
        <v>879</v>
      </c>
      <c r="T179" s="6" t="s">
        <v>214</v>
      </c>
      <c r="U179" s="6" t="s">
        <v>1197</v>
      </c>
      <c r="V179" s="106" t="s">
        <v>247</v>
      </c>
      <c r="W179" s="105" t="s">
        <v>248</v>
      </c>
      <c r="Y179" s="180">
        <v>52078913416</v>
      </c>
      <c r="Z179" s="2" t="s">
        <v>1256</v>
      </c>
      <c r="AA179" s="2" t="s">
        <v>1257</v>
      </c>
      <c r="AB179" s="2" t="s">
        <v>1157</v>
      </c>
      <c r="AD179" s="15">
        <v>32638</v>
      </c>
      <c r="AE179" s="53">
        <v>27</v>
      </c>
      <c r="AH179" s="110">
        <v>27</v>
      </c>
      <c r="AJ179" s="2" t="s">
        <v>1258</v>
      </c>
      <c r="AK179" s="2" t="s">
        <v>1259</v>
      </c>
      <c r="AL179" s="2" t="s">
        <v>1260</v>
      </c>
      <c r="AM179" s="2" t="s">
        <v>1261</v>
      </c>
      <c r="AN179" s="2" t="s">
        <v>1157</v>
      </c>
      <c r="AO179" s="2" t="s">
        <v>253</v>
      </c>
      <c r="AP179" s="180">
        <v>28306</v>
      </c>
      <c r="AR179" s="176">
        <v>3131136276</v>
      </c>
      <c r="AU179" s="2" t="s">
        <v>258</v>
      </c>
      <c r="AV179" s="2" t="s">
        <v>1262</v>
      </c>
      <c r="AY179" s="107">
        <v>42513</v>
      </c>
      <c r="BD179" s="180">
        <v>90</v>
      </c>
      <c r="BE179" s="107">
        <f t="shared" si="56"/>
        <v>42603</v>
      </c>
    </row>
    <row r="180" spans="2:64" x14ac:dyDescent="0.2">
      <c r="B180" s="15">
        <v>42517</v>
      </c>
      <c r="C180" s="176">
        <f t="shared" si="50"/>
        <v>27</v>
      </c>
      <c r="D180" s="176">
        <f t="shared" si="51"/>
        <v>5</v>
      </c>
      <c r="E180" s="12" t="s">
        <v>51</v>
      </c>
      <c r="F180" s="176">
        <f t="shared" si="52"/>
        <v>2016</v>
      </c>
      <c r="G180" s="2" t="s">
        <v>1263</v>
      </c>
      <c r="H180" s="176">
        <v>166.67</v>
      </c>
      <c r="I180" s="15">
        <f t="shared" ca="1" si="53"/>
        <v>42517</v>
      </c>
      <c r="L180" s="126">
        <v>1000</v>
      </c>
      <c r="M180" s="55" t="s">
        <v>1264</v>
      </c>
      <c r="R180" s="1" t="s">
        <v>149</v>
      </c>
      <c r="S180" s="1" t="s">
        <v>879</v>
      </c>
      <c r="T180" s="6" t="s">
        <v>210</v>
      </c>
      <c r="U180" s="6" t="s">
        <v>240</v>
      </c>
      <c r="V180" s="106" t="s">
        <v>247</v>
      </c>
      <c r="W180" s="105" t="s">
        <v>248</v>
      </c>
      <c r="Y180" s="180">
        <v>62149409914</v>
      </c>
      <c r="Z180" s="2" t="s">
        <v>1265</v>
      </c>
      <c r="AA180" s="2" t="s">
        <v>1266</v>
      </c>
      <c r="AB180" s="2" t="s">
        <v>257</v>
      </c>
      <c r="AD180" s="15">
        <v>34505</v>
      </c>
      <c r="AE180" s="53">
        <v>22</v>
      </c>
      <c r="AH180" s="110">
        <v>22</v>
      </c>
      <c r="AJ180" s="2" t="s">
        <v>1267</v>
      </c>
      <c r="AK180" s="2" t="s">
        <v>1268</v>
      </c>
      <c r="AL180" s="2" t="s">
        <v>1269</v>
      </c>
      <c r="AM180" s="2" t="s">
        <v>348</v>
      </c>
      <c r="AN180" s="2" t="s">
        <v>285</v>
      </c>
      <c r="AO180" s="2" t="s">
        <v>253</v>
      </c>
      <c r="AP180" s="180">
        <v>28180</v>
      </c>
      <c r="AR180" s="176">
        <v>3131415641</v>
      </c>
      <c r="AU180" s="2" t="s">
        <v>266</v>
      </c>
      <c r="AY180" s="107">
        <v>42517</v>
      </c>
      <c r="BD180" s="180">
        <v>90</v>
      </c>
      <c r="BE180" s="107">
        <f t="shared" si="56"/>
        <v>42607</v>
      </c>
    </row>
    <row r="181" spans="2:64" x14ac:dyDescent="0.2">
      <c r="B181" s="15">
        <v>42520</v>
      </c>
      <c r="C181" s="176">
        <f t="shared" si="50"/>
        <v>30</v>
      </c>
      <c r="D181" s="176">
        <f t="shared" si="51"/>
        <v>5</v>
      </c>
      <c r="E181" s="12" t="s">
        <v>51</v>
      </c>
      <c r="F181" s="176">
        <f t="shared" si="52"/>
        <v>2016</v>
      </c>
      <c r="G181" s="2" t="s">
        <v>1270</v>
      </c>
      <c r="H181" s="176">
        <v>166.67</v>
      </c>
      <c r="I181" s="15">
        <f t="shared" ca="1" si="53"/>
        <v>42520</v>
      </c>
      <c r="L181" s="126">
        <v>1000</v>
      </c>
      <c r="M181" s="55" t="s">
        <v>1264</v>
      </c>
      <c r="R181" s="1" t="s">
        <v>149</v>
      </c>
      <c r="S181" s="1" t="s">
        <v>879</v>
      </c>
      <c r="T181" s="6" t="s">
        <v>210</v>
      </c>
      <c r="U181" s="6" t="s">
        <v>240</v>
      </c>
      <c r="V181" s="106" t="s">
        <v>247</v>
      </c>
      <c r="W181" s="105" t="s">
        <v>248</v>
      </c>
      <c r="Y181" s="180">
        <v>8149351416</v>
      </c>
      <c r="Z181" s="2" t="s">
        <v>1271</v>
      </c>
      <c r="AA181" s="2" t="s">
        <v>1272</v>
      </c>
      <c r="AB181" s="2" t="s">
        <v>257</v>
      </c>
      <c r="AD181" s="15">
        <v>34274</v>
      </c>
      <c r="AE181" s="53">
        <v>22</v>
      </c>
      <c r="AH181" s="110">
        <v>22</v>
      </c>
      <c r="AJ181" s="2" t="s">
        <v>1273</v>
      </c>
      <c r="AK181" s="2" t="s">
        <v>1274</v>
      </c>
      <c r="AL181" s="2" t="s">
        <v>1275</v>
      </c>
      <c r="AM181" s="2" t="s">
        <v>905</v>
      </c>
      <c r="AN181" s="2" t="s">
        <v>285</v>
      </c>
      <c r="AO181" s="2" t="s">
        <v>253</v>
      </c>
      <c r="AP181" s="180">
        <v>28140</v>
      </c>
      <c r="AR181" s="176">
        <v>3247189</v>
      </c>
      <c r="AU181" s="2" t="s">
        <v>266</v>
      </c>
      <c r="AY181" s="107">
        <v>42520</v>
      </c>
      <c r="BD181" s="180">
        <v>90</v>
      </c>
      <c r="BE181" s="107">
        <f t="shared" si="56"/>
        <v>42610</v>
      </c>
    </row>
    <row r="182" spans="2:64" x14ac:dyDescent="0.2">
      <c r="B182" s="15">
        <v>42520</v>
      </c>
      <c r="C182" s="176">
        <f t="shared" si="50"/>
        <v>30</v>
      </c>
      <c r="D182" s="176">
        <f t="shared" si="51"/>
        <v>5</v>
      </c>
      <c r="E182" s="12" t="s">
        <v>51</v>
      </c>
      <c r="F182" s="176">
        <f t="shared" si="52"/>
        <v>2016</v>
      </c>
      <c r="G182" s="2" t="s">
        <v>1276</v>
      </c>
      <c r="H182" s="176">
        <v>333.33</v>
      </c>
      <c r="I182" s="15">
        <f t="shared" ca="1" si="53"/>
        <v>42520</v>
      </c>
      <c r="L182" s="126">
        <v>2000</v>
      </c>
      <c r="M182" s="55" t="s">
        <v>1277</v>
      </c>
      <c r="R182" s="1" t="s">
        <v>149</v>
      </c>
      <c r="S182" s="1" t="s">
        <v>879</v>
      </c>
      <c r="T182" s="6" t="s">
        <v>219</v>
      </c>
      <c r="U182" s="6" t="s">
        <v>1278</v>
      </c>
      <c r="V182" s="106" t="s">
        <v>247</v>
      </c>
      <c r="W182" s="105" t="s">
        <v>248</v>
      </c>
      <c r="Y182" s="180">
        <v>52139003108</v>
      </c>
      <c r="Z182" s="2" t="s">
        <v>1279</v>
      </c>
      <c r="AA182" s="2" t="s">
        <v>1280</v>
      </c>
      <c r="AB182" s="2" t="s">
        <v>1281</v>
      </c>
      <c r="AD182" s="15">
        <v>33090</v>
      </c>
      <c r="AE182" s="53">
        <v>25</v>
      </c>
      <c r="AH182" s="110">
        <v>25</v>
      </c>
      <c r="AJ182" s="2" t="s">
        <v>1282</v>
      </c>
      <c r="AK182" s="2" t="s">
        <v>1283</v>
      </c>
      <c r="AL182" s="2" t="s">
        <v>1284</v>
      </c>
      <c r="AM182" s="2" t="s">
        <v>337</v>
      </c>
      <c r="AN182" s="2" t="s">
        <v>1281</v>
      </c>
      <c r="AO182" s="2" t="s">
        <v>253</v>
      </c>
      <c r="AP182" s="180">
        <v>28400</v>
      </c>
      <c r="AR182" s="176">
        <v>3123196502</v>
      </c>
      <c r="AU182" s="2" t="s">
        <v>266</v>
      </c>
      <c r="AY182" s="107">
        <v>42520</v>
      </c>
      <c r="BD182" s="180">
        <v>90</v>
      </c>
      <c r="BE182" s="107">
        <f t="shared" si="56"/>
        <v>42610</v>
      </c>
    </row>
    <row r="183" spans="2:64" x14ac:dyDescent="0.2">
      <c r="B183" s="15">
        <v>42524</v>
      </c>
      <c r="C183" s="176">
        <f t="shared" si="50"/>
        <v>3</v>
      </c>
      <c r="D183" s="176">
        <f t="shared" si="51"/>
        <v>6</v>
      </c>
      <c r="E183" s="12" t="s">
        <v>52</v>
      </c>
      <c r="F183" s="176">
        <f t="shared" si="52"/>
        <v>2016</v>
      </c>
      <c r="G183" s="2" t="s">
        <v>1285</v>
      </c>
      <c r="H183" s="176">
        <v>133.33000000000001</v>
      </c>
      <c r="I183" s="15">
        <f t="shared" ca="1" si="53"/>
        <v>42524</v>
      </c>
      <c r="L183" s="126">
        <v>800</v>
      </c>
      <c r="M183" s="55" t="s">
        <v>1083</v>
      </c>
      <c r="R183" s="1" t="s">
        <v>149</v>
      </c>
      <c r="S183" s="1" t="s">
        <v>879</v>
      </c>
      <c r="T183" s="6" t="s">
        <v>1286</v>
      </c>
      <c r="U183" s="6" t="s">
        <v>1287</v>
      </c>
      <c r="V183" s="106" t="s">
        <v>247</v>
      </c>
      <c r="W183" s="105" t="s">
        <v>248</v>
      </c>
      <c r="Z183" s="2" t="s">
        <v>1288</v>
      </c>
      <c r="AA183" s="2" t="s">
        <v>1289</v>
      </c>
      <c r="AB183" s="2" t="s">
        <v>257</v>
      </c>
      <c r="AD183" s="15">
        <v>35138</v>
      </c>
      <c r="AE183" s="53">
        <v>20</v>
      </c>
      <c r="AH183" s="110">
        <v>20</v>
      </c>
      <c r="AJ183" s="2" t="s">
        <v>1191</v>
      </c>
      <c r="AK183" s="2" t="s">
        <v>1192</v>
      </c>
      <c r="AL183" s="2" t="s">
        <v>1193</v>
      </c>
      <c r="AM183" s="2" t="s">
        <v>1194</v>
      </c>
      <c r="AN183" s="2" t="s">
        <v>285</v>
      </c>
      <c r="AO183" s="2" t="s">
        <v>253</v>
      </c>
      <c r="AP183" s="180">
        <v>28110</v>
      </c>
      <c r="AR183" s="176">
        <v>3131463755</v>
      </c>
      <c r="AU183" s="2" t="s">
        <v>713</v>
      </c>
      <c r="AY183" s="107">
        <v>42524</v>
      </c>
      <c r="BD183" s="180">
        <v>90</v>
      </c>
      <c r="BE183" s="107">
        <f t="shared" si="56"/>
        <v>42614</v>
      </c>
    </row>
    <row r="184" spans="2:64" x14ac:dyDescent="0.2">
      <c r="B184" s="15">
        <v>42524</v>
      </c>
      <c r="C184" s="176">
        <f t="shared" si="50"/>
        <v>3</v>
      </c>
      <c r="D184" s="176">
        <f t="shared" si="51"/>
        <v>6</v>
      </c>
      <c r="E184" s="12" t="s">
        <v>52</v>
      </c>
      <c r="F184" s="176">
        <f t="shared" si="52"/>
        <v>2016</v>
      </c>
      <c r="G184" s="2" t="s">
        <v>1290</v>
      </c>
      <c r="H184" s="176">
        <v>291.66000000000003</v>
      </c>
      <c r="I184" s="15">
        <f t="shared" ca="1" si="53"/>
        <v>42524</v>
      </c>
      <c r="L184" s="126">
        <v>1750</v>
      </c>
      <c r="M184" s="55" t="s">
        <v>1291</v>
      </c>
      <c r="R184" s="1" t="s">
        <v>149</v>
      </c>
      <c r="S184" s="1" t="s">
        <v>879</v>
      </c>
      <c r="T184" s="6" t="s">
        <v>216</v>
      </c>
      <c r="U184" s="6" t="s">
        <v>1292</v>
      </c>
      <c r="V184" s="106" t="s">
        <v>247</v>
      </c>
      <c r="W184" s="105" t="s">
        <v>248</v>
      </c>
      <c r="Y184" s="180">
        <v>52109107582</v>
      </c>
      <c r="Z184" s="2" t="s">
        <v>1293</v>
      </c>
      <c r="AA184" s="2" t="s">
        <v>1294</v>
      </c>
      <c r="AB184" s="2" t="s">
        <v>748</v>
      </c>
      <c r="AD184" s="15">
        <v>33384</v>
      </c>
      <c r="AE184" s="53">
        <v>25</v>
      </c>
      <c r="AH184" s="110">
        <v>25</v>
      </c>
      <c r="AJ184" s="2" t="s">
        <v>1295</v>
      </c>
      <c r="AK184" s="2" t="s">
        <v>1296</v>
      </c>
      <c r="AL184" s="2" t="s">
        <v>1297</v>
      </c>
      <c r="AM184" s="2" t="s">
        <v>1298</v>
      </c>
      <c r="AN184" s="2" t="s">
        <v>253</v>
      </c>
      <c r="AO184" s="2" t="s">
        <v>253</v>
      </c>
      <c r="AP184" s="180">
        <v>28979</v>
      </c>
      <c r="AR184" s="176">
        <v>3123096412</v>
      </c>
      <c r="AU184" s="2" t="s">
        <v>258</v>
      </c>
      <c r="AV184" s="2" t="s">
        <v>1299</v>
      </c>
      <c r="AY184" s="107">
        <v>42524</v>
      </c>
      <c r="BD184" s="180">
        <v>90</v>
      </c>
      <c r="BE184" s="107">
        <f t="shared" si="56"/>
        <v>42614</v>
      </c>
    </row>
    <row r="185" spans="2:64" x14ac:dyDescent="0.2">
      <c r="B185" s="15">
        <v>42527</v>
      </c>
      <c r="C185" s="176">
        <f t="shared" si="50"/>
        <v>6</v>
      </c>
      <c r="D185" s="176">
        <f t="shared" si="51"/>
        <v>6</v>
      </c>
      <c r="E185" s="12" t="s">
        <v>52</v>
      </c>
      <c r="F185" s="176">
        <f t="shared" si="52"/>
        <v>2016</v>
      </c>
      <c r="G185" s="2" t="s">
        <v>1300</v>
      </c>
      <c r="H185" s="176">
        <v>250</v>
      </c>
      <c r="I185" s="15">
        <f t="shared" ca="1" si="53"/>
        <v>42527</v>
      </c>
      <c r="L185" s="126">
        <v>1500</v>
      </c>
      <c r="M185" s="55" t="s">
        <v>1301</v>
      </c>
      <c r="R185" s="1" t="s">
        <v>149</v>
      </c>
      <c r="S185" s="1" t="s">
        <v>879</v>
      </c>
      <c r="T185" s="6" t="s">
        <v>1286</v>
      </c>
      <c r="U185" s="6" t="s">
        <v>1302</v>
      </c>
      <c r="V185" s="106" t="s">
        <v>247</v>
      </c>
      <c r="W185" s="105" t="s">
        <v>248</v>
      </c>
      <c r="Z185" s="2" t="s">
        <v>1303</v>
      </c>
      <c r="AA185" s="2" t="s">
        <v>1304</v>
      </c>
      <c r="AB185" s="2" t="s">
        <v>1305</v>
      </c>
      <c r="AD185" s="15">
        <v>34062</v>
      </c>
      <c r="AE185" s="53">
        <v>23</v>
      </c>
      <c r="AH185" s="110">
        <v>23</v>
      </c>
      <c r="AJ185" s="2" t="s">
        <v>1306</v>
      </c>
      <c r="AK185" s="2" t="s">
        <v>1307</v>
      </c>
      <c r="AL185" s="2" t="s">
        <v>1308</v>
      </c>
      <c r="AM185" s="2" t="s">
        <v>1309</v>
      </c>
      <c r="AN185" s="2" t="s">
        <v>285</v>
      </c>
      <c r="AO185" s="2" t="s">
        <v>253</v>
      </c>
      <c r="AP185" s="180">
        <v>28140</v>
      </c>
      <c r="AR185" s="176">
        <v>3244093</v>
      </c>
      <c r="AU185" s="2" t="s">
        <v>258</v>
      </c>
      <c r="AV185" s="2" t="s">
        <v>1310</v>
      </c>
      <c r="AY185" s="107">
        <v>42527</v>
      </c>
      <c r="BD185" s="180">
        <v>90</v>
      </c>
      <c r="BE185" s="107">
        <f t="shared" si="56"/>
        <v>42617</v>
      </c>
    </row>
    <row r="186" spans="2:64" x14ac:dyDescent="0.2">
      <c r="B186" s="15">
        <v>42528</v>
      </c>
      <c r="C186" s="176">
        <f t="shared" si="50"/>
        <v>7</v>
      </c>
      <c r="D186" s="176">
        <f t="shared" si="51"/>
        <v>6</v>
      </c>
      <c r="E186" s="12" t="s">
        <v>52</v>
      </c>
      <c r="F186" s="176">
        <f t="shared" si="52"/>
        <v>2016</v>
      </c>
      <c r="G186" s="2" t="s">
        <v>1311</v>
      </c>
      <c r="H186" s="176">
        <v>150</v>
      </c>
      <c r="I186" s="15">
        <f t="shared" ca="1" si="53"/>
        <v>42528</v>
      </c>
      <c r="L186" s="126">
        <v>900</v>
      </c>
      <c r="M186" s="55" t="s">
        <v>1240</v>
      </c>
      <c r="R186" s="1" t="s">
        <v>149</v>
      </c>
      <c r="S186" s="1" t="s">
        <v>879</v>
      </c>
      <c r="T186" s="6" t="s">
        <v>214</v>
      </c>
      <c r="U186" s="6" t="s">
        <v>1312</v>
      </c>
      <c r="V186" s="106" t="s">
        <v>247</v>
      </c>
      <c r="W186" s="105" t="s">
        <v>248</v>
      </c>
      <c r="Y186" s="180">
        <v>52129506540</v>
      </c>
      <c r="Z186" s="2" t="s">
        <v>1313</v>
      </c>
      <c r="AA186" s="2" t="s">
        <v>1314</v>
      </c>
      <c r="AB186" s="2" t="s">
        <v>257</v>
      </c>
      <c r="AD186" s="15">
        <v>34720</v>
      </c>
      <c r="AE186" s="53">
        <v>21</v>
      </c>
      <c r="AH186" s="110">
        <v>21</v>
      </c>
      <c r="AJ186" s="2" t="s">
        <v>1315</v>
      </c>
      <c r="AK186" s="2" t="s">
        <v>1316</v>
      </c>
      <c r="AL186" s="2" t="s">
        <v>1317</v>
      </c>
      <c r="AM186" s="2" t="s">
        <v>265</v>
      </c>
      <c r="AN186" s="2" t="s">
        <v>285</v>
      </c>
      <c r="AO186" s="2" t="s">
        <v>253</v>
      </c>
      <c r="AP186" s="180">
        <v>28130</v>
      </c>
      <c r="AR186" s="176">
        <v>3121110699</v>
      </c>
      <c r="AU186" s="2" t="s">
        <v>266</v>
      </c>
      <c r="AY186" s="107">
        <v>42528</v>
      </c>
      <c r="BD186" s="180">
        <v>90</v>
      </c>
      <c r="BE186" s="107">
        <f t="shared" si="56"/>
        <v>42618</v>
      </c>
    </row>
    <row r="187" spans="2:64" x14ac:dyDescent="0.2">
      <c r="B187" s="15">
        <v>42529</v>
      </c>
      <c r="C187" s="176">
        <f t="shared" si="50"/>
        <v>8</v>
      </c>
      <c r="D187" s="176">
        <f t="shared" si="51"/>
        <v>6</v>
      </c>
      <c r="E187" s="12" t="s">
        <v>52</v>
      </c>
      <c r="F187" s="176">
        <f t="shared" si="52"/>
        <v>2016</v>
      </c>
      <c r="G187" s="2" t="s">
        <v>1318</v>
      </c>
      <c r="H187" s="176">
        <v>150</v>
      </c>
      <c r="I187" s="15">
        <f t="shared" ca="1" si="53"/>
        <v>42529</v>
      </c>
      <c r="L187" s="126">
        <v>900</v>
      </c>
      <c r="M187" s="55" t="s">
        <v>1240</v>
      </c>
      <c r="R187" s="1" t="s">
        <v>149</v>
      </c>
      <c r="S187" s="1" t="s">
        <v>879</v>
      </c>
      <c r="T187" s="6" t="s">
        <v>214</v>
      </c>
      <c r="U187" s="6" t="s">
        <v>1312</v>
      </c>
      <c r="V187" s="106" t="s">
        <v>247</v>
      </c>
      <c r="W187" s="105" t="s">
        <v>248</v>
      </c>
      <c r="Z187" s="2" t="s">
        <v>1319</v>
      </c>
      <c r="AA187" s="2" t="s">
        <v>1320</v>
      </c>
      <c r="AB187" s="2" t="s">
        <v>257</v>
      </c>
      <c r="AD187" s="15">
        <v>35500</v>
      </c>
      <c r="AE187" s="53">
        <v>19</v>
      </c>
      <c r="AH187" s="110">
        <v>19</v>
      </c>
      <c r="AJ187" s="2" t="s">
        <v>1321</v>
      </c>
      <c r="AK187" s="2" t="s">
        <v>1322</v>
      </c>
      <c r="AL187" s="2" t="s">
        <v>1323</v>
      </c>
      <c r="AM187" s="2" t="s">
        <v>363</v>
      </c>
      <c r="AN187" s="2" t="s">
        <v>285</v>
      </c>
      <c r="AO187" s="2" t="s">
        <v>253</v>
      </c>
      <c r="AP187" s="180">
        <v>28180</v>
      </c>
      <c r="AR187" s="176">
        <v>3131478853</v>
      </c>
      <c r="AU187" s="2" t="s">
        <v>266</v>
      </c>
      <c r="AY187" s="107">
        <v>42529</v>
      </c>
      <c r="BD187" s="180">
        <v>90</v>
      </c>
      <c r="BE187" s="107">
        <f t="shared" si="56"/>
        <v>42619</v>
      </c>
    </row>
    <row r="188" spans="2:64" x14ac:dyDescent="0.2">
      <c r="B188" s="15">
        <v>42532</v>
      </c>
      <c r="C188" s="176">
        <f t="shared" si="50"/>
        <v>11</v>
      </c>
      <c r="D188" s="176">
        <f t="shared" si="51"/>
        <v>6</v>
      </c>
      <c r="E188" s="12" t="s">
        <v>52</v>
      </c>
      <c r="F188" s="176">
        <f t="shared" si="52"/>
        <v>2016</v>
      </c>
      <c r="G188" s="2" t="s">
        <v>1324</v>
      </c>
      <c r="H188" s="176">
        <v>133.33000000000001</v>
      </c>
      <c r="I188" s="15">
        <f t="shared" ca="1" si="53"/>
        <v>42532</v>
      </c>
      <c r="L188" s="126">
        <v>800</v>
      </c>
      <c r="M188" s="55" t="s">
        <v>1083</v>
      </c>
      <c r="R188" s="1" t="s">
        <v>149</v>
      </c>
      <c r="S188" s="1" t="s">
        <v>879</v>
      </c>
      <c r="T188" s="6" t="s">
        <v>214</v>
      </c>
      <c r="U188" s="6" t="s">
        <v>1287</v>
      </c>
      <c r="V188" s="106" t="s">
        <v>247</v>
      </c>
      <c r="W188" s="105" t="s">
        <v>248</v>
      </c>
      <c r="Y188" s="180">
        <v>54885600418</v>
      </c>
      <c r="Z188" s="2" t="s">
        <v>1325</v>
      </c>
      <c r="AA188" s="2" t="s">
        <v>1326</v>
      </c>
      <c r="AB188" s="2" t="s">
        <v>257</v>
      </c>
      <c r="AD188" s="15">
        <v>31804</v>
      </c>
      <c r="AE188" s="53">
        <v>29</v>
      </c>
      <c r="AH188" s="110">
        <v>29</v>
      </c>
      <c r="AJ188" s="2" t="s">
        <v>1327</v>
      </c>
      <c r="AK188" s="2" t="s">
        <v>1328</v>
      </c>
      <c r="AL188" s="2" t="s">
        <v>1329</v>
      </c>
      <c r="AM188" s="2" t="s">
        <v>1216</v>
      </c>
      <c r="AN188" s="2" t="s">
        <v>285</v>
      </c>
      <c r="AO188" s="2" t="s">
        <v>253</v>
      </c>
      <c r="AP188" s="180">
        <v>28134</v>
      </c>
      <c r="AR188" s="176">
        <v>3131382042</v>
      </c>
      <c r="AU188" s="2" t="s">
        <v>713</v>
      </c>
      <c r="AY188" s="107">
        <v>42532</v>
      </c>
      <c r="BD188" s="180">
        <v>90</v>
      </c>
      <c r="BE188" s="107">
        <f t="shared" si="56"/>
        <v>42622</v>
      </c>
    </row>
    <row r="189" spans="2:64" x14ac:dyDescent="0.2">
      <c r="B189" s="15">
        <v>42534</v>
      </c>
      <c r="C189" s="176">
        <f t="shared" si="50"/>
        <v>13</v>
      </c>
      <c r="D189" s="176">
        <f t="shared" si="51"/>
        <v>6</v>
      </c>
      <c r="E189" s="12" t="s">
        <v>52</v>
      </c>
      <c r="F189" s="176">
        <f t="shared" si="52"/>
        <v>2016</v>
      </c>
      <c r="G189" s="2" t="s">
        <v>1330</v>
      </c>
      <c r="H189" s="176">
        <v>166.67</v>
      </c>
      <c r="I189" s="15">
        <f t="shared" ca="1" si="53"/>
        <v>42534</v>
      </c>
      <c r="L189" s="126">
        <v>1000</v>
      </c>
      <c r="M189" s="55" t="s">
        <v>1264</v>
      </c>
      <c r="R189" s="1" t="s">
        <v>149</v>
      </c>
      <c r="S189" s="1" t="s">
        <v>879</v>
      </c>
      <c r="T189" s="6" t="s">
        <v>214</v>
      </c>
      <c r="U189" s="6" t="s">
        <v>1312</v>
      </c>
      <c r="V189" s="106" t="s">
        <v>247</v>
      </c>
      <c r="W189" s="105" t="s">
        <v>248</v>
      </c>
      <c r="Y189" s="180">
        <v>52109502873</v>
      </c>
      <c r="Z189" s="2" t="s">
        <v>1331</v>
      </c>
      <c r="AA189" s="2" t="s">
        <v>1332</v>
      </c>
      <c r="AB189" s="2" t="s">
        <v>257</v>
      </c>
      <c r="AD189" s="15">
        <v>34941</v>
      </c>
      <c r="AE189" s="53">
        <v>20</v>
      </c>
      <c r="AH189" s="110">
        <v>20</v>
      </c>
      <c r="AJ189" s="2" t="s">
        <v>1333</v>
      </c>
      <c r="AK189" s="2" t="s">
        <v>1334</v>
      </c>
      <c r="AL189" s="2" t="s">
        <v>1335</v>
      </c>
      <c r="AM189" s="2" t="s">
        <v>388</v>
      </c>
      <c r="AN189" s="2" t="s">
        <v>285</v>
      </c>
      <c r="AO189" s="2" t="s">
        <v>253</v>
      </c>
      <c r="AP189" s="180">
        <v>28110</v>
      </c>
      <c r="AR189" s="176">
        <v>3131473366</v>
      </c>
      <c r="AU189" s="2" t="s">
        <v>713</v>
      </c>
      <c r="AY189" s="107">
        <v>42534</v>
      </c>
      <c r="BD189" s="180">
        <v>90</v>
      </c>
      <c r="BE189" s="107">
        <f t="shared" si="56"/>
        <v>42624</v>
      </c>
    </row>
    <row r="190" spans="2:64" x14ac:dyDescent="0.2">
      <c r="B190" s="15">
        <v>42534</v>
      </c>
      <c r="C190" s="176">
        <f t="shared" si="50"/>
        <v>13</v>
      </c>
      <c r="D190" s="176">
        <f t="shared" si="51"/>
        <v>6</v>
      </c>
      <c r="E190" s="162" t="s">
        <v>52</v>
      </c>
      <c r="F190" s="176">
        <f t="shared" si="52"/>
        <v>2016</v>
      </c>
      <c r="G190" s="2" t="s">
        <v>1360</v>
      </c>
      <c r="H190" s="176">
        <v>150</v>
      </c>
      <c r="I190" s="15">
        <f t="shared" ca="1" si="53"/>
        <v>42534</v>
      </c>
      <c r="L190" s="126">
        <v>900</v>
      </c>
      <c r="M190" s="55" t="s">
        <v>1240</v>
      </c>
      <c r="R190" s="1" t="s">
        <v>149</v>
      </c>
      <c r="S190" s="1" t="s">
        <v>879</v>
      </c>
      <c r="T190" s="6" t="s">
        <v>214</v>
      </c>
      <c r="U190" s="6" t="s">
        <v>1361</v>
      </c>
      <c r="V190" s="106" t="s">
        <v>247</v>
      </c>
      <c r="W190" s="105" t="s">
        <v>248</v>
      </c>
      <c r="Z190" s="2" t="s">
        <v>1362</v>
      </c>
      <c r="AA190" s="2" t="s">
        <v>1363</v>
      </c>
      <c r="AD190" s="15">
        <v>32059</v>
      </c>
      <c r="AE190" s="53">
        <v>28</v>
      </c>
      <c r="AH190" s="110">
        <v>28</v>
      </c>
      <c r="AI190" s="161"/>
      <c r="AZ190" s="162"/>
      <c r="BA190" s="162"/>
      <c r="BB190" s="162"/>
      <c r="BC190" s="162"/>
      <c r="BF190" s="162"/>
      <c r="BG190" s="162"/>
      <c r="BH190" s="162"/>
      <c r="BI190" s="162"/>
      <c r="BL190" s="162"/>
    </row>
    <row r="191" spans="2:64" x14ac:dyDescent="0.2">
      <c r="B191" s="15">
        <v>42535</v>
      </c>
      <c r="C191" s="176">
        <f t="shared" si="50"/>
        <v>14</v>
      </c>
      <c r="D191" s="176">
        <f t="shared" si="51"/>
        <v>6</v>
      </c>
      <c r="E191" s="12" t="s">
        <v>52</v>
      </c>
      <c r="F191" s="176">
        <f t="shared" si="52"/>
        <v>2016</v>
      </c>
      <c r="G191" s="2" t="s">
        <v>1336</v>
      </c>
      <c r="H191" s="176">
        <v>166.67</v>
      </c>
      <c r="I191" s="15">
        <f t="shared" ca="1" si="53"/>
        <v>42535</v>
      </c>
      <c r="L191" s="126">
        <v>1000</v>
      </c>
      <c r="M191" s="55" t="s">
        <v>1264</v>
      </c>
      <c r="R191" s="1" t="s">
        <v>149</v>
      </c>
      <c r="S191" s="1" t="s">
        <v>879</v>
      </c>
      <c r="T191" s="6" t="s">
        <v>211</v>
      </c>
      <c r="U191" s="6" t="s">
        <v>1337</v>
      </c>
      <c r="V191" s="106" t="s">
        <v>247</v>
      </c>
      <c r="W191" s="105" t="s">
        <v>248</v>
      </c>
      <c r="Y191" s="180">
        <v>52139800081</v>
      </c>
      <c r="Z191" s="2" t="s">
        <v>1338</v>
      </c>
      <c r="AA191" s="2" t="s">
        <v>1339</v>
      </c>
      <c r="AB191" s="2" t="s">
        <v>257</v>
      </c>
      <c r="AD191" s="15">
        <v>35821</v>
      </c>
      <c r="AE191" s="53">
        <v>18</v>
      </c>
      <c r="AH191" s="110">
        <v>18</v>
      </c>
      <c r="AJ191" s="2" t="s">
        <v>1340</v>
      </c>
      <c r="AK191" s="2" t="s">
        <v>1341</v>
      </c>
      <c r="AL191" s="2" t="s">
        <v>1342</v>
      </c>
      <c r="AM191" s="2" t="s">
        <v>311</v>
      </c>
      <c r="AN191" s="2" t="s">
        <v>285</v>
      </c>
      <c r="AO191" s="2" t="s">
        <v>253</v>
      </c>
      <c r="AP191" s="180">
        <v>28134</v>
      </c>
      <c r="AR191" s="176">
        <v>3131005546</v>
      </c>
      <c r="AU191" s="2" t="s">
        <v>356</v>
      </c>
      <c r="AV191" s="2" t="s">
        <v>1343</v>
      </c>
      <c r="AY191" s="107">
        <v>42535</v>
      </c>
      <c r="BD191" s="180">
        <v>90</v>
      </c>
      <c r="BE191" s="107">
        <f t="shared" si="56"/>
        <v>42625</v>
      </c>
    </row>
    <row r="192" spans="2:64" x14ac:dyDescent="0.2">
      <c r="B192" s="15">
        <v>42535</v>
      </c>
      <c r="C192" s="176">
        <f t="shared" si="50"/>
        <v>14</v>
      </c>
      <c r="D192" s="176">
        <f t="shared" si="51"/>
        <v>6</v>
      </c>
      <c r="E192" s="12" t="s">
        <v>52</v>
      </c>
      <c r="F192" s="176">
        <f t="shared" si="52"/>
        <v>2016</v>
      </c>
      <c r="G192" s="2" t="s">
        <v>1344</v>
      </c>
      <c r="H192" s="176">
        <v>216.66</v>
      </c>
      <c r="I192" s="15">
        <f t="shared" ca="1" si="53"/>
        <v>42535</v>
      </c>
      <c r="L192" s="126">
        <v>1300</v>
      </c>
      <c r="M192" s="55" t="s">
        <v>1345</v>
      </c>
      <c r="R192" s="1" t="s">
        <v>149</v>
      </c>
      <c r="S192" s="1" t="s">
        <v>879</v>
      </c>
      <c r="T192" s="6" t="s">
        <v>210</v>
      </c>
      <c r="U192" s="6" t="s">
        <v>243</v>
      </c>
      <c r="V192" s="106" t="s">
        <v>247</v>
      </c>
      <c r="W192" s="105" t="s">
        <v>248</v>
      </c>
      <c r="Y192" s="180">
        <v>52098908487</v>
      </c>
      <c r="Z192" s="2" t="s">
        <v>1346</v>
      </c>
      <c r="AA192" s="2" t="s">
        <v>1347</v>
      </c>
      <c r="AB192" s="2" t="s">
        <v>257</v>
      </c>
      <c r="AD192" s="15">
        <v>32826</v>
      </c>
      <c r="AE192" s="53">
        <v>26</v>
      </c>
      <c r="AH192" s="110">
        <v>26</v>
      </c>
      <c r="AJ192" s="2" t="s">
        <v>1348</v>
      </c>
      <c r="AK192" s="2" t="s">
        <v>1349</v>
      </c>
      <c r="AL192" s="2" t="s">
        <v>1350</v>
      </c>
      <c r="AM192" s="2" t="s">
        <v>381</v>
      </c>
      <c r="AN192" s="2" t="s">
        <v>285</v>
      </c>
      <c r="AO192" s="2" t="s">
        <v>253</v>
      </c>
      <c r="AR192" s="176">
        <v>3317473688</v>
      </c>
      <c r="AU192" s="2" t="s">
        <v>356</v>
      </c>
      <c r="AW192" s="1" t="s">
        <v>1351</v>
      </c>
      <c r="AY192" s="107">
        <v>42535</v>
      </c>
      <c r="BD192" s="180">
        <v>90</v>
      </c>
      <c r="BE192" s="107">
        <f t="shared" si="56"/>
        <v>42625</v>
      </c>
    </row>
    <row r="193" spans="2:57" x14ac:dyDescent="0.2">
      <c r="B193" s="15">
        <v>42536</v>
      </c>
      <c r="C193" s="176">
        <f t="shared" si="50"/>
        <v>15</v>
      </c>
      <c r="D193" s="176">
        <f t="shared" si="51"/>
        <v>6</v>
      </c>
      <c r="E193" s="12" t="s">
        <v>52</v>
      </c>
      <c r="F193" s="176">
        <f t="shared" si="52"/>
        <v>2016</v>
      </c>
      <c r="G193" s="2" t="s">
        <v>1352</v>
      </c>
      <c r="H193" s="176">
        <v>166.67</v>
      </c>
      <c r="I193" s="15">
        <f t="shared" ca="1" si="53"/>
        <v>42536</v>
      </c>
      <c r="L193" s="126">
        <v>1000</v>
      </c>
      <c r="M193" s="55" t="s">
        <v>1264</v>
      </c>
      <c r="R193" s="1" t="s">
        <v>149</v>
      </c>
      <c r="S193" s="1" t="s">
        <v>879</v>
      </c>
      <c r="T193" s="6" t="s">
        <v>212</v>
      </c>
      <c r="U193" s="6" t="s">
        <v>1353</v>
      </c>
      <c r="V193" s="106" t="s">
        <v>247</v>
      </c>
      <c r="W193" s="105" t="s">
        <v>248</v>
      </c>
      <c r="Y193" s="180">
        <v>52037801835</v>
      </c>
      <c r="Z193" s="2" t="s">
        <v>1354</v>
      </c>
      <c r="AA193" s="2" t="s">
        <v>1355</v>
      </c>
      <c r="AB193" s="2" t="s">
        <v>1147</v>
      </c>
      <c r="AD193" s="15">
        <v>28590</v>
      </c>
      <c r="AE193" s="53">
        <v>38</v>
      </c>
      <c r="AH193" s="110">
        <v>38</v>
      </c>
      <c r="AJ193" s="2" t="s">
        <v>1356</v>
      </c>
      <c r="AK193" s="2" t="s">
        <v>1357</v>
      </c>
      <c r="AL193" s="2" t="s">
        <v>1358</v>
      </c>
      <c r="AM193" s="2" t="s">
        <v>278</v>
      </c>
      <c r="AN193" s="2" t="s">
        <v>285</v>
      </c>
      <c r="AO193" s="2" t="s">
        <v>253</v>
      </c>
      <c r="AP193" s="180">
        <v>28110</v>
      </c>
      <c r="AR193" s="176">
        <v>3131124309</v>
      </c>
      <c r="AU193" s="2" t="s">
        <v>1047</v>
      </c>
      <c r="AV193" s="2" t="s">
        <v>1359</v>
      </c>
      <c r="AY193" s="107">
        <v>42536</v>
      </c>
      <c r="BD193" s="180">
        <v>90</v>
      </c>
      <c r="BE193" s="107">
        <f t="shared" si="56"/>
        <v>42626</v>
      </c>
    </row>
  </sheetData>
  <autoFilter ref="A1:BL133"/>
  <phoneticPr fontId="0" type="noConversion"/>
  <pageMargins left="0.75" right="0.75" top="1" bottom="1" header="0" footer="0"/>
  <pageSetup scale="89" orientation="portrait" r:id="rId1"/>
  <headerFooter alignWithMargins="0"/>
  <colBreaks count="1" manualBreakCount="1">
    <brk id="8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V11"/>
  <sheetViews>
    <sheetView workbookViewId="0">
      <selection activeCell="B26" sqref="B26"/>
    </sheetView>
  </sheetViews>
  <sheetFormatPr baseColWidth="10" defaultRowHeight="12.75" x14ac:dyDescent="0.2"/>
  <cols>
    <col min="2" max="2" width="34.140625" bestFit="1" customWidth="1"/>
    <col min="3" max="3" width="27.5703125" hidden="1" customWidth="1"/>
    <col min="4" max="4" width="21.7109375" hidden="1" customWidth="1"/>
    <col min="5" max="5" width="23.5703125" bestFit="1" customWidth="1"/>
  </cols>
  <sheetData>
    <row r="1" spans="1:22" ht="38.25" x14ac:dyDescent="0.2">
      <c r="A1" s="13" t="s">
        <v>11</v>
      </c>
      <c r="B1" s="3" t="s">
        <v>0</v>
      </c>
      <c r="C1" s="91" t="s">
        <v>89</v>
      </c>
      <c r="D1" s="91" t="s">
        <v>59</v>
      </c>
      <c r="E1" s="100" t="s">
        <v>1</v>
      </c>
      <c r="F1" s="108" t="s">
        <v>45</v>
      </c>
      <c r="G1" s="56" t="s">
        <v>29</v>
      </c>
      <c r="H1" s="3" t="s">
        <v>19</v>
      </c>
      <c r="I1" s="3" t="s">
        <v>20</v>
      </c>
      <c r="J1" s="3" t="s">
        <v>4</v>
      </c>
      <c r="K1" s="3" t="s">
        <v>5</v>
      </c>
      <c r="L1" s="3" t="s">
        <v>6</v>
      </c>
      <c r="M1" s="3" t="s">
        <v>7</v>
      </c>
      <c r="N1" s="56" t="s">
        <v>8</v>
      </c>
      <c r="O1" s="3" t="s">
        <v>9</v>
      </c>
      <c r="P1" s="3" t="s">
        <v>10</v>
      </c>
      <c r="Q1" s="3" t="s">
        <v>23</v>
      </c>
      <c r="R1" s="97" t="s">
        <v>16</v>
      </c>
      <c r="S1" s="3" t="s">
        <v>17</v>
      </c>
      <c r="T1" s="3" t="s">
        <v>18</v>
      </c>
      <c r="U1" s="91" t="s">
        <v>260</v>
      </c>
      <c r="V1" s="9" t="s">
        <v>81</v>
      </c>
    </row>
    <row r="2" spans="1:22" x14ac:dyDescent="0.2">
      <c r="A2" s="15">
        <v>26244</v>
      </c>
      <c r="B2" s="112" t="s">
        <v>147</v>
      </c>
      <c r="C2" s="143" t="s">
        <v>149</v>
      </c>
      <c r="D2" s="93" t="s">
        <v>879</v>
      </c>
      <c r="E2" s="128" t="s">
        <v>244</v>
      </c>
      <c r="F2" s="110">
        <v>44</v>
      </c>
      <c r="G2" s="62"/>
      <c r="H2" s="2"/>
      <c r="I2" s="2" t="s">
        <v>487</v>
      </c>
      <c r="J2" s="2" t="s">
        <v>488</v>
      </c>
      <c r="K2" s="2" t="s">
        <v>311</v>
      </c>
      <c r="L2" s="2" t="s">
        <v>257</v>
      </c>
      <c r="M2" s="2" t="s">
        <v>253</v>
      </c>
      <c r="N2" s="62">
        <v>28138</v>
      </c>
      <c r="O2" s="2"/>
      <c r="P2" s="2">
        <v>3131195414</v>
      </c>
      <c r="Q2" s="1"/>
      <c r="R2" s="71"/>
      <c r="S2" s="2" t="s">
        <v>258</v>
      </c>
      <c r="T2" s="2" t="s">
        <v>489</v>
      </c>
      <c r="U2" s="1" t="s">
        <v>298</v>
      </c>
      <c r="V2" s="1" t="s">
        <v>261</v>
      </c>
    </row>
    <row r="3" spans="1:22" x14ac:dyDescent="0.2">
      <c r="A3" s="15">
        <v>31727</v>
      </c>
      <c r="B3" s="113" t="s">
        <v>136</v>
      </c>
      <c r="C3" s="143" t="s">
        <v>149</v>
      </c>
      <c r="D3" s="93" t="s">
        <v>879</v>
      </c>
      <c r="E3" s="129" t="s">
        <v>232</v>
      </c>
      <c r="F3" s="110">
        <v>29</v>
      </c>
      <c r="G3" s="62"/>
      <c r="H3" s="2" t="s">
        <v>503</v>
      </c>
      <c r="I3" s="2"/>
      <c r="J3" s="2" t="s">
        <v>504</v>
      </c>
      <c r="K3" s="2" t="s">
        <v>505</v>
      </c>
      <c r="L3" s="2" t="s">
        <v>257</v>
      </c>
      <c r="M3" s="2" t="s">
        <v>253</v>
      </c>
      <c r="N3" s="62">
        <v>28140</v>
      </c>
      <c r="O3" s="2"/>
      <c r="P3" s="2">
        <v>3131187607</v>
      </c>
      <c r="Q3" s="1"/>
      <c r="R3" s="71"/>
      <c r="S3" s="2" t="s">
        <v>258</v>
      </c>
      <c r="T3" s="2" t="s">
        <v>506</v>
      </c>
      <c r="U3" s="1" t="s">
        <v>507</v>
      </c>
      <c r="V3" s="1" t="s">
        <v>261</v>
      </c>
    </row>
    <row r="4" spans="1:22" x14ac:dyDescent="0.2">
      <c r="A4" s="15">
        <v>32092</v>
      </c>
      <c r="B4" s="112" t="s">
        <v>119</v>
      </c>
      <c r="C4" s="143" t="s">
        <v>149</v>
      </c>
      <c r="D4" s="93" t="s">
        <v>879</v>
      </c>
      <c r="E4" s="128" t="s">
        <v>234</v>
      </c>
      <c r="F4" s="110">
        <v>28</v>
      </c>
      <c r="G4" s="62"/>
      <c r="H4" s="2" t="s">
        <v>281</v>
      </c>
      <c r="I4" s="2" t="s">
        <v>282</v>
      </c>
      <c r="J4" s="2" t="s">
        <v>283</v>
      </c>
      <c r="K4" s="2" t="s">
        <v>284</v>
      </c>
      <c r="L4" s="2" t="s">
        <v>285</v>
      </c>
      <c r="M4" s="2" t="s">
        <v>253</v>
      </c>
      <c r="N4" s="62">
        <v>28130</v>
      </c>
      <c r="O4" s="2"/>
      <c r="P4" s="2"/>
      <c r="Q4" s="1"/>
      <c r="R4" s="71"/>
      <c r="S4" s="2" t="s">
        <v>266</v>
      </c>
      <c r="T4" s="2"/>
      <c r="U4" s="1"/>
      <c r="V4" s="1" t="s">
        <v>261</v>
      </c>
    </row>
    <row r="5" spans="1:22" x14ac:dyDescent="0.2">
      <c r="A5" s="14">
        <v>32101</v>
      </c>
      <c r="B5" s="112" t="s">
        <v>112</v>
      </c>
      <c r="C5" s="143" t="s">
        <v>149</v>
      </c>
      <c r="D5" s="93" t="s">
        <v>879</v>
      </c>
      <c r="E5" s="128" t="s">
        <v>219</v>
      </c>
      <c r="F5" s="109">
        <v>28</v>
      </c>
      <c r="G5" s="61"/>
      <c r="H5" s="6" t="s">
        <v>740</v>
      </c>
      <c r="I5" s="6" t="s">
        <v>741</v>
      </c>
      <c r="J5" s="6" t="s">
        <v>742</v>
      </c>
      <c r="K5" s="6" t="s">
        <v>381</v>
      </c>
      <c r="L5" s="6" t="s">
        <v>257</v>
      </c>
      <c r="M5" s="6" t="s">
        <v>253</v>
      </c>
      <c r="N5" s="61">
        <v>28140</v>
      </c>
      <c r="O5" s="6"/>
      <c r="P5" s="6">
        <v>3131354748</v>
      </c>
      <c r="Q5" s="8"/>
      <c r="R5" s="98"/>
      <c r="S5" s="6" t="s">
        <v>258</v>
      </c>
      <c r="T5" s="6" t="s">
        <v>743</v>
      </c>
      <c r="U5" s="96"/>
      <c r="V5" s="1" t="s">
        <v>261</v>
      </c>
    </row>
    <row r="6" spans="1:22" x14ac:dyDescent="0.2">
      <c r="A6" s="14">
        <v>32104</v>
      </c>
      <c r="B6" s="112" t="s">
        <v>109</v>
      </c>
      <c r="C6" s="93" t="s">
        <v>881</v>
      </c>
      <c r="D6" s="93" t="s">
        <v>880</v>
      </c>
      <c r="E6" s="128" t="s">
        <v>227</v>
      </c>
      <c r="F6" s="109">
        <v>28</v>
      </c>
      <c r="G6" s="61"/>
      <c r="H6" s="6" t="s">
        <v>811</v>
      </c>
      <c r="I6" s="6" t="s">
        <v>812</v>
      </c>
      <c r="J6" s="6" t="s">
        <v>813</v>
      </c>
      <c r="K6" s="6" t="s">
        <v>381</v>
      </c>
      <c r="L6" s="6" t="s">
        <v>257</v>
      </c>
      <c r="M6" s="6" t="s">
        <v>253</v>
      </c>
      <c r="N6" s="61">
        <v>28149</v>
      </c>
      <c r="O6" s="6">
        <v>3244651</v>
      </c>
      <c r="P6" s="6">
        <v>3131190982</v>
      </c>
      <c r="Q6" s="8"/>
      <c r="R6" s="98"/>
      <c r="S6" s="6" t="s">
        <v>266</v>
      </c>
      <c r="T6" s="6"/>
      <c r="U6" s="96"/>
      <c r="V6" s="1" t="s">
        <v>261</v>
      </c>
    </row>
    <row r="7" spans="1:22" x14ac:dyDescent="0.2">
      <c r="A7" s="15">
        <v>32469</v>
      </c>
      <c r="B7" s="112" t="s">
        <v>163</v>
      </c>
      <c r="C7" s="143" t="s">
        <v>149</v>
      </c>
      <c r="D7" s="93" t="s">
        <v>879</v>
      </c>
      <c r="E7" s="128" t="s">
        <v>246</v>
      </c>
      <c r="F7" s="110">
        <v>27</v>
      </c>
      <c r="G7" s="62"/>
      <c r="H7" s="2" t="s">
        <v>759</v>
      </c>
      <c r="I7" s="2" t="s">
        <v>760</v>
      </c>
      <c r="J7" s="2" t="s">
        <v>761</v>
      </c>
      <c r="K7" s="2" t="s">
        <v>762</v>
      </c>
      <c r="L7" s="2" t="s">
        <v>748</v>
      </c>
      <c r="M7" s="2" t="s">
        <v>253</v>
      </c>
      <c r="N7" s="62">
        <v>28979</v>
      </c>
      <c r="O7" s="2"/>
      <c r="P7" s="2">
        <v>3123393662</v>
      </c>
      <c r="Q7" s="1"/>
      <c r="R7" s="71"/>
      <c r="S7" s="2" t="s">
        <v>266</v>
      </c>
      <c r="T7" s="2"/>
      <c r="U7" s="1"/>
      <c r="V7" s="1" t="s">
        <v>261</v>
      </c>
    </row>
    <row r="8" spans="1:22" x14ac:dyDescent="0.2">
      <c r="A8" s="15">
        <v>34288</v>
      </c>
      <c r="B8" s="112" t="s">
        <v>131</v>
      </c>
      <c r="C8" s="93" t="s">
        <v>881</v>
      </c>
      <c r="D8" s="93" t="s">
        <v>880</v>
      </c>
      <c r="E8" s="128" t="s">
        <v>227</v>
      </c>
      <c r="F8" s="110">
        <v>22</v>
      </c>
      <c r="G8" s="62"/>
      <c r="H8" s="2" t="s">
        <v>831</v>
      </c>
      <c r="I8" s="2" t="s">
        <v>832</v>
      </c>
      <c r="J8" s="2" t="s">
        <v>833</v>
      </c>
      <c r="K8" s="2" t="s">
        <v>834</v>
      </c>
      <c r="L8" s="2" t="s">
        <v>257</v>
      </c>
      <c r="M8" s="2" t="s">
        <v>253</v>
      </c>
      <c r="N8" s="62">
        <v>28160</v>
      </c>
      <c r="O8" s="2"/>
      <c r="P8" s="2">
        <v>3131350718</v>
      </c>
      <c r="Q8" s="1"/>
      <c r="R8" s="71"/>
      <c r="S8" s="2" t="s">
        <v>258</v>
      </c>
      <c r="T8" s="2" t="s">
        <v>835</v>
      </c>
      <c r="U8" s="1"/>
      <c r="V8" s="10"/>
    </row>
    <row r="9" spans="1:22" x14ac:dyDescent="0.2">
      <c r="A9" s="15">
        <v>35386</v>
      </c>
      <c r="B9" s="114" t="s">
        <v>199</v>
      </c>
      <c r="C9" s="93" t="s">
        <v>881</v>
      </c>
      <c r="D9" s="93" t="s">
        <v>880</v>
      </c>
      <c r="E9" s="130" t="s">
        <v>227</v>
      </c>
      <c r="F9" s="110">
        <v>19</v>
      </c>
      <c r="G9" s="62"/>
      <c r="H9" s="2" t="s">
        <v>785</v>
      </c>
      <c r="I9" s="2" t="s">
        <v>786</v>
      </c>
      <c r="J9" s="2" t="s">
        <v>787</v>
      </c>
      <c r="K9" s="2" t="s">
        <v>788</v>
      </c>
      <c r="L9" s="2" t="s">
        <v>257</v>
      </c>
      <c r="M9" s="2" t="s">
        <v>253</v>
      </c>
      <c r="N9" s="62"/>
      <c r="O9" s="2"/>
      <c r="P9" s="2">
        <v>3131189649</v>
      </c>
      <c r="Q9" s="1"/>
      <c r="R9" s="71"/>
      <c r="S9" s="2" t="s">
        <v>266</v>
      </c>
      <c r="T9" s="2"/>
      <c r="U9" s="1"/>
      <c r="V9" s="10"/>
    </row>
    <row r="10" spans="1:22" x14ac:dyDescent="0.2">
      <c r="A10" s="15">
        <v>37200</v>
      </c>
      <c r="B10" s="114" t="s">
        <v>322</v>
      </c>
      <c r="C10" s="143" t="s">
        <v>149</v>
      </c>
      <c r="D10" s="93" t="s">
        <v>879</v>
      </c>
      <c r="E10" s="130" t="s">
        <v>225</v>
      </c>
      <c r="F10" s="110">
        <v>14</v>
      </c>
      <c r="G10" s="62"/>
      <c r="H10" s="2" t="s">
        <v>323</v>
      </c>
      <c r="I10" s="2" t="s">
        <v>324</v>
      </c>
      <c r="J10" s="2" t="s">
        <v>325</v>
      </c>
      <c r="K10" s="2" t="s">
        <v>326</v>
      </c>
      <c r="L10" s="2" t="s">
        <v>257</v>
      </c>
      <c r="M10" s="2" t="s">
        <v>253</v>
      </c>
      <c r="N10" s="62"/>
      <c r="O10" s="2"/>
      <c r="P10" s="2">
        <v>3121021808</v>
      </c>
      <c r="Q10" s="1"/>
      <c r="R10" s="71"/>
      <c r="S10" s="2" t="s">
        <v>266</v>
      </c>
      <c r="T10" s="2"/>
      <c r="U10" s="1"/>
      <c r="V10" s="10"/>
    </row>
    <row r="11" spans="1:22" x14ac:dyDescent="0.2">
      <c r="A11" s="15">
        <v>37215</v>
      </c>
      <c r="B11" s="114" t="s">
        <v>183</v>
      </c>
      <c r="C11" s="143" t="s">
        <v>149</v>
      </c>
      <c r="D11" s="93" t="s">
        <v>879</v>
      </c>
      <c r="E11" s="130" t="s">
        <v>228</v>
      </c>
      <c r="F11" s="110">
        <v>14</v>
      </c>
      <c r="G11" s="62"/>
      <c r="H11" s="2" t="s">
        <v>418</v>
      </c>
      <c r="I11" s="2" t="s">
        <v>419</v>
      </c>
      <c r="J11" s="2" t="s">
        <v>420</v>
      </c>
      <c r="K11" s="2" t="s">
        <v>421</v>
      </c>
      <c r="L11" s="2" t="s">
        <v>285</v>
      </c>
      <c r="M11" s="2" t="s">
        <v>253</v>
      </c>
      <c r="N11" s="62"/>
      <c r="O11" s="2"/>
      <c r="P11" s="2">
        <v>3131229191</v>
      </c>
      <c r="Q11" s="1"/>
      <c r="R11" s="71"/>
      <c r="S11" s="2" t="s">
        <v>266</v>
      </c>
      <c r="T11" s="2"/>
      <c r="U11" s="1"/>
      <c r="V11" s="10"/>
    </row>
  </sheetData>
  <sortState ref="A2:V124">
    <sortCondition ref="A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C9"/>
  <sheetViews>
    <sheetView workbookViewId="0">
      <selection activeCell="C9" sqref="C9"/>
    </sheetView>
  </sheetViews>
  <sheetFormatPr baseColWidth="10" defaultRowHeight="12.75" x14ac:dyDescent="0.2"/>
  <cols>
    <col min="3" max="3" width="29.140625" bestFit="1" customWidth="1"/>
  </cols>
  <sheetData>
    <row r="2" spans="1:3" x14ac:dyDescent="0.2">
      <c r="A2">
        <v>6</v>
      </c>
      <c r="B2" s="14">
        <v>31022</v>
      </c>
      <c r="C2" s="112" t="s">
        <v>108</v>
      </c>
    </row>
    <row r="3" spans="1:3" x14ac:dyDescent="0.2">
      <c r="A3">
        <v>7</v>
      </c>
      <c r="B3" s="15">
        <v>27370</v>
      </c>
      <c r="C3" s="118" t="s">
        <v>191</v>
      </c>
    </row>
    <row r="4" spans="1:3" x14ac:dyDescent="0.2">
      <c r="A4">
        <v>14</v>
      </c>
      <c r="B4" s="15">
        <v>33952</v>
      </c>
      <c r="C4" s="113" t="s">
        <v>170</v>
      </c>
    </row>
    <row r="5" spans="1:3" x14ac:dyDescent="0.2">
      <c r="A5">
        <v>16</v>
      </c>
      <c r="B5" s="15">
        <v>30301</v>
      </c>
      <c r="C5" s="113" t="s">
        <v>162</v>
      </c>
    </row>
    <row r="6" spans="1:3" x14ac:dyDescent="0.2">
      <c r="A6">
        <v>19</v>
      </c>
      <c r="B6" s="15">
        <v>25556</v>
      </c>
      <c r="C6" s="114" t="s">
        <v>201</v>
      </c>
    </row>
    <row r="7" spans="1:3" x14ac:dyDescent="0.2">
      <c r="A7">
        <v>22</v>
      </c>
      <c r="B7" s="15">
        <v>31038</v>
      </c>
      <c r="C7" s="112" t="s">
        <v>122</v>
      </c>
    </row>
    <row r="8" spans="1:3" x14ac:dyDescent="0.2">
      <c r="A8">
        <v>23</v>
      </c>
      <c r="B8" s="15">
        <v>31039</v>
      </c>
      <c r="C8" s="113" t="s">
        <v>157</v>
      </c>
    </row>
    <row r="9" spans="1:3" x14ac:dyDescent="0.2">
      <c r="A9">
        <v>30</v>
      </c>
      <c r="B9" s="15">
        <v>33602</v>
      </c>
      <c r="C9" s="112" t="s">
        <v>120</v>
      </c>
    </row>
  </sheetData>
  <sortState ref="A3:C9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Tabulador</vt:lpstr>
      <vt:lpstr>Factor Integración</vt:lpstr>
      <vt:lpstr>General</vt:lpstr>
      <vt:lpstr>Hoja1</vt:lpstr>
      <vt:lpstr>Hoja2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surt3</cp:lastModifiedBy>
  <cp:lastPrinted>2015-11-09T17:32:14Z</cp:lastPrinted>
  <dcterms:created xsi:type="dcterms:W3CDTF">1996-11-27T10:00:04Z</dcterms:created>
  <dcterms:modified xsi:type="dcterms:W3CDTF">2016-07-15T15:34:35Z</dcterms:modified>
</cp:coreProperties>
</file>